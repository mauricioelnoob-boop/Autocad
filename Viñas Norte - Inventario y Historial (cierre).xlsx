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 Actual" sheetId="1" state="visible" r:id="rId1"/>
    <sheet name="Historial Lote 34" sheetId="2" state="visible" r:id="rId2"/>
    <sheet name="Historial Lote 9" sheetId="3" state="visible" r:id="rId3"/>
    <sheet name="Historial Lote 10" sheetId="4" state="visible" r:id="rId4"/>
    <sheet name="Historial Lote 33" sheetId="5" state="visible" r:id="rId5"/>
    <sheet name="Historial Lote 19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b val="1"/>
      <color rgb="00FFFFFF"/>
      <sz val="15"/>
    </font>
    <font>
      <i val="1"/>
      <color rgb="00595959"/>
    </font>
    <font>
      <b val="1"/>
      <color rgb="00FFFFFF"/>
    </font>
    <font>
      <b val="1"/>
    </font>
    <font>
      <b val="1"/>
      <color rgb="009C0006"/>
    </font>
    <font>
      <b val="1"/>
      <color rgb="001F4E78"/>
    </font>
    <font>
      <i val="1"/>
      <color rgb="00595959"/>
      <sz val="9"/>
    </font>
    <font>
      <b val="1"/>
      <color rgb="00FFFFFF"/>
      <sz val="14"/>
    </font>
    <font>
      <b val="1"/>
      <color rgb="00833C00"/>
    </font>
  </fonts>
  <fills count="10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305496"/>
      </patternFill>
    </fill>
    <fill>
      <patternFill patternType="solid">
        <fgColor rgb="002E6DA4"/>
      </patternFill>
    </fill>
    <fill>
      <patternFill patternType="solid">
        <fgColor rgb="002F5496"/>
      </patternFill>
    </fill>
    <fill>
      <patternFill patternType="solid">
        <fgColor rgb="00FCF3CF"/>
      </patternFill>
    </fill>
    <fill>
      <patternFill patternType="solid">
        <fgColor rgb="00FCE4D6"/>
      </patternFill>
    </fill>
    <fill>
      <patternFill patternType="solid">
        <fgColor rgb="00FFF2CC"/>
      </patternFill>
    </fill>
    <fill>
      <patternFill patternType="solid">
        <fgColor rgb="00E2EFDA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3" borderId="0" applyAlignment="1" pivotButton="0" quotePrefix="0" xfId="0">
      <alignment horizontal="left" vertical="center"/>
    </xf>
    <xf numFmtId="0" fontId="3" fillId="4" borderId="1" applyAlignment="1" pivotButton="0" quotePrefix="0" xfId="0">
      <alignment horizontal="center" vertical="center"/>
    </xf>
    <xf numFmtId="0" fontId="4" fillId="0" borderId="1" pivotButton="0" quotePrefix="0" xfId="0"/>
    <xf numFmtId="0" fontId="0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0" fillId="0" borderId="1" pivotButton="0" quotePrefix="0" xfId="0"/>
    <xf numFmtId="0" fontId="3" fillId="5" borderId="0" applyAlignment="1" pivotButton="0" quotePrefix="0" xfId="0">
      <alignment horizontal="left" vertical="center"/>
    </xf>
    <xf numFmtId="0" fontId="6" fillId="0" borderId="1" applyAlignment="1" pivotButton="0" quotePrefix="0" xfId="0">
      <alignment horizontal="center" vertical="center"/>
    </xf>
    <xf numFmtId="0" fontId="7" fillId="0" borderId="1" pivotButton="0" quotePrefix="0" xfId="0"/>
    <xf numFmtId="0" fontId="4" fillId="6" borderId="1" pivotButton="0" quotePrefix="0" xfId="0"/>
    <xf numFmtId="0" fontId="0" fillId="6" borderId="1" applyAlignment="1" pivotButton="0" quotePrefix="0" xfId="0">
      <alignment horizontal="center" vertical="center"/>
    </xf>
    <xf numFmtId="0" fontId="0" fillId="6" borderId="1" pivotButton="0" quotePrefix="0" xfId="0"/>
    <xf numFmtId="0" fontId="8" fillId="2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9" fillId="7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/>
    </xf>
    <xf numFmtId="0" fontId="0" fillId="0" borderId="1" applyAlignment="1" pivotButton="0" quotePrefix="0" xfId="0">
      <alignment horizontal="left" vertical="center"/>
    </xf>
    <xf numFmtId="0" fontId="0" fillId="7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4" fillId="9" borderId="1" applyAlignment="1" pivotButton="0" quotePrefix="0" xfId="0">
      <alignment horizontal="center" vertical="center"/>
    </xf>
  </cellXfs>
  <cellStyles count="1">
    <cellStyle name="Normal" xfId="0" builtinId="0" hidden="0"/>
  </cellStyles>
  <dxfs count="5">
    <dxf>
      <font>
        <b val="1"/>
        <color rgb="009C0006"/>
      </font>
      <fill>
        <patternFill patternType="solid">
          <fgColor rgb="00FFC7CE"/>
        </patternFill>
      </fill>
    </dxf>
    <dxf>
      <font>
        <b val="1"/>
        <color rgb="009C0006"/>
      </font>
      <fill>
        <patternFill patternType="solid">
          <fgColor rgb="00F8B7BD"/>
        </patternFill>
      </fill>
    </dxf>
    <dxf>
      <font>
        <b val="1"/>
        <color rgb="009C6500"/>
      </font>
      <fill>
        <patternFill patternType="solid">
          <fgColor rgb="00FFEB9C"/>
        </patternFill>
      </fill>
    </dxf>
    <dxf>
      <font>
        <b val="1"/>
        <color rgb="00006100"/>
      </font>
      <fill>
        <patternFill patternType="solid">
          <fgColor rgb="00C6EFCE"/>
        </patternFill>
      </fill>
    </dxf>
    <dxf>
      <font>
        <b val="1"/>
        <color rgb="001F4E78"/>
      </font>
      <fill>
        <patternFill patternType="solid">
          <fgColor rgb="00BDD7E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ables/table1.xml><?xml version="1.0" encoding="utf-8"?>
<table xmlns="http://schemas.openxmlformats.org/spreadsheetml/2006/main" id="1" name="Hist_L34" displayName="Hist_L34" ref="A5:N42" headerRowCount="1">
  <autoFilter ref="A5:N42"/>
  <tableColumns count="14">
    <tableColumn id="1" name="Fecha"/>
    <tableColumn id="2" name="Pisero"/>
    <tableColumn id="3" name="Salió Moret"/>
    <tableColumn id="4" name="Salió Urbania"/>
    <tableColumn id="5" name="Salió Malla"/>
    <tableColumn id="6" name="Salió Duela"/>
    <tableColumn id="7" name="Salió Pegavitro"/>
    <tableColumn id="8" name="Salió Unicrest"/>
    <tableColumn id="9" name="Piso Moret"/>
    <tableColumn id="10" name="Urbania White"/>
    <tableColumn id="11" name="Malla Lyndhurst"/>
    <tableColumn id="12" name="Royal Walnut"/>
    <tableColumn id="13" name="Pegavitro"/>
    <tableColumn id="14" name="Unicrest"/>
  </tableColumns>
  <tableStyleInfo name="TableStyleLight1" showFirstColumn="0" showLastColumn="0" showRowStripes="0" showColumnStripes="0"/>
</table>
</file>

<file path=xl/tables/table2.xml><?xml version="1.0" encoding="utf-8"?>
<table xmlns="http://schemas.openxmlformats.org/spreadsheetml/2006/main" id="2" name="Hist_L9" displayName="Hist_L9" ref="A5:N44" headerRowCount="1">
  <autoFilter ref="A5:N44"/>
  <tableColumns count="14">
    <tableColumn id="1" name="Fecha"/>
    <tableColumn id="2" name="Pisero"/>
    <tableColumn id="3" name="Salió Moret"/>
    <tableColumn id="4" name="Salió Urbania"/>
    <tableColumn id="5" name="Salió Malla"/>
    <tableColumn id="6" name="Salió Duela"/>
    <tableColumn id="7" name="Salió Pegavitro"/>
    <tableColumn id="8" name="Salió Porcelánico"/>
    <tableColumn id="9" name="Piso Moret"/>
    <tableColumn id="10" name="Urbania White"/>
    <tableColumn id="11" name="Malla Lyndhurst"/>
    <tableColumn id="12" name="Royal Walnut"/>
    <tableColumn id="13" name="Pegavitro"/>
    <tableColumn id="14" name="Fija Porcelánico"/>
  </tableColumns>
  <tableStyleInfo name="TableStyleLight1" showFirstColumn="0" showLastColumn="0" showRowStripes="0" showColumnStripes="0"/>
</table>
</file>

<file path=xl/tables/table3.xml><?xml version="1.0" encoding="utf-8"?>
<table xmlns="http://schemas.openxmlformats.org/spreadsheetml/2006/main" id="3" name="Hist_L10" displayName="Hist_L10" ref="A5:N26" headerRowCount="1">
  <autoFilter ref="A5:N26"/>
  <tableColumns count="14">
    <tableColumn id="1" name="Fecha"/>
    <tableColumn id="2" name="Pisero"/>
    <tableColumn id="3" name="Salió Moret"/>
    <tableColumn id="4" name="Salió Urbania"/>
    <tableColumn id="5" name="Salió Malla"/>
    <tableColumn id="6" name="Salió Duela"/>
    <tableColumn id="7" name="Salió Pegavitro"/>
    <tableColumn id="8" name="Salió Porcelánico"/>
    <tableColumn id="9" name="Piso Moret"/>
    <tableColumn id="10" name="Urbania White"/>
    <tableColumn id="11" name="Malla Lyndhurst"/>
    <tableColumn id="12" name="Royal Walnut"/>
    <tableColumn id="13" name="Pegavitro"/>
    <tableColumn id="14" name="Fija Porcelánico"/>
  </tableColumns>
  <tableStyleInfo name="TableStyleLight1" showFirstColumn="0" showLastColumn="0" showRowStripes="0" showColumnStripes="0"/>
</table>
</file>

<file path=xl/tables/table4.xml><?xml version="1.0" encoding="utf-8"?>
<table xmlns="http://schemas.openxmlformats.org/spreadsheetml/2006/main" id="4" name="Hist_L33" displayName="Hist_L33" ref="A5:N36" headerRowCount="1">
  <autoFilter ref="A5:N36"/>
  <tableColumns count="14">
    <tableColumn id="1" name="Fecha"/>
    <tableColumn id="2" name="Pisero"/>
    <tableColumn id="3" name="Salió Moret"/>
    <tableColumn id="4" name="Salió Urbania"/>
    <tableColumn id="5" name="Salió Malla"/>
    <tableColumn id="6" name="Salió Duela"/>
    <tableColumn id="7" name="Salió Pegavitro"/>
    <tableColumn id="8" name="Salió Unicrest"/>
    <tableColumn id="9" name="Piso Moret"/>
    <tableColumn id="10" name="Urbania White"/>
    <tableColumn id="11" name="Malla Lyndhurst"/>
    <tableColumn id="12" name="Royal Walnut"/>
    <tableColumn id="13" name="Pegavitro"/>
    <tableColumn id="14" name="Unicrest"/>
  </tableColumns>
  <tableStyleInfo name="TableStyleLight1" showFirstColumn="0" showLastColumn="0" showRowStripes="0" showColumnStripes="0"/>
</table>
</file>

<file path=xl/tables/table5.xml><?xml version="1.0" encoding="utf-8"?>
<table xmlns="http://schemas.openxmlformats.org/spreadsheetml/2006/main" id="5" name="Hist_L19" displayName="Hist_L19" ref="A5:N36" headerRowCount="1">
  <autoFilter ref="A5:N36"/>
  <tableColumns count="14">
    <tableColumn id="1" name="Fecha"/>
    <tableColumn id="2" name="Pisero"/>
    <tableColumn id="3" name="Salió Moret"/>
    <tableColumn id="4" name="Salió Urbania"/>
    <tableColumn id="5" name="Salió Malla"/>
    <tableColumn id="6" name="Salió Duela"/>
    <tableColumn id="7" name="Salió Pegavitro"/>
    <tableColumn id="8" name="Salió Porcelánico"/>
    <tableColumn id="9" name="Piso Moret"/>
    <tableColumn id="10" name="Urbania White"/>
    <tableColumn id="11" name="Malla Lyndhurst"/>
    <tableColumn id="12" name="Royal Walnut"/>
    <tableColumn id="13" name="Pegavitro"/>
    <tableColumn id="14" name="Fija Porcelánico"/>
  </tableColumns>
  <tableStyleInfo name="TableStyleLight1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F59"/>
  <sheetViews>
    <sheetView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10" customWidth="1" min="3" max="3"/>
    <col width="10" customWidth="1" min="4" max="4"/>
    <col width="12" customWidth="1" min="5" max="5"/>
    <col width="26" customWidth="1" min="6" max="6"/>
  </cols>
  <sheetData>
    <row r="2">
      <c r="B2" s="1" t="inlineStr">
        <is>
          <t>INVENTARIO DE ALMACÉN — VITROPISOS</t>
        </is>
      </c>
    </row>
    <row r="3">
      <c r="B3" s="2" t="inlineStr">
        <is>
          <t>Estado actual por lote · Actualizado a junio 2026</t>
        </is>
      </c>
    </row>
    <row r="5">
      <c r="B5" s="3" t="inlineStr">
        <is>
          <t>📦  LOTE 10 (MERLOT) MZA 7   ·   ACTIVO</t>
        </is>
      </c>
    </row>
    <row r="6">
      <c r="B6" s="4" t="inlineStr">
        <is>
          <t>Material</t>
        </is>
      </c>
      <c r="C6" s="4" t="inlineStr">
        <is>
          <t>Inicial</t>
        </is>
      </c>
      <c r="D6" s="4" t="inlineStr">
        <is>
          <t>Actual</t>
        </is>
      </c>
      <c r="E6" s="4" t="inlineStr">
        <is>
          <t>Estado</t>
        </is>
      </c>
      <c r="F6" s="4" t="inlineStr">
        <is>
          <t>Notas</t>
        </is>
      </c>
    </row>
    <row r="7">
      <c r="B7" s="5" t="inlineStr">
        <is>
          <t>Piso Moret</t>
        </is>
      </c>
      <c r="C7" s="6" t="n">
        <v>98</v>
      </c>
      <c r="D7" s="6" t="n">
        <v>48</v>
      </c>
      <c r="E7" s="7">
        <f>IF(D7=0,"AGOTADO",IF(D7/C7&lt;=0.15,"CRÍTICO",IF(D7/C7&lt;=0.4,"BAJO","OK")))</f>
        <v/>
      </c>
      <c r="F7" s="8" t="n"/>
    </row>
    <row r="8">
      <c r="B8" s="5" t="inlineStr">
        <is>
          <t>Royal Walnut (duela)</t>
        </is>
      </c>
      <c r="C8" s="6" t="n">
        <v>37</v>
      </c>
      <c r="D8" s="6" t="n">
        <v>0</v>
      </c>
      <c r="E8" s="7">
        <f>IF(D8=0,"AGOTADO",IF(D8/C8&lt;=0.15,"CRÍTICO",IF(D8/C8&lt;=0.4,"BAJO","OK")))</f>
        <v/>
      </c>
      <c r="F8" s="8" t="n"/>
    </row>
    <row r="9">
      <c r="B9" s="5" t="inlineStr">
        <is>
          <t>Urbania White</t>
        </is>
      </c>
      <c r="C9" s="6" t="n">
        <v>7</v>
      </c>
      <c r="D9" s="6" t="n">
        <v>7</v>
      </c>
      <c r="E9" s="7">
        <f>IF(D9=0,"AGOTADO",IF(D9/C9&lt;=0.15,"CRÍTICO",IF(D9/C9&lt;=0.4,"BAJO","OK")))</f>
        <v/>
      </c>
      <c r="F9" s="8" t="n"/>
    </row>
    <row r="10">
      <c r="B10" s="5" t="inlineStr">
        <is>
          <t>Malla Lyndhurst</t>
        </is>
      </c>
      <c r="C10" s="6" t="n">
        <v>17</v>
      </c>
      <c r="D10" s="6" t="n">
        <v>9</v>
      </c>
      <c r="E10" s="7">
        <f>IF(D10=0,"AGOTADO",IF(D10/C10&lt;=0.15,"CRÍTICO",IF(D10/C10&lt;=0.4,"BAJO","OK")))</f>
        <v/>
      </c>
      <c r="F10" s="8" t="n"/>
    </row>
    <row r="11">
      <c r="B11" s="5" t="inlineStr">
        <is>
          <t>Pegavitro</t>
        </is>
      </c>
      <c r="C11" s="6" t="n">
        <v>79</v>
      </c>
      <c r="D11" s="6" t="n">
        <v>41</v>
      </c>
      <c r="E11" s="7">
        <f>IF(D11=0,"AGOTADO",IF(D11/C11&lt;=0.15,"CRÍTICO",IF(D11/C11&lt;=0.4,"BAJO","OK")))</f>
        <v/>
      </c>
      <c r="F11" s="8" t="n"/>
    </row>
    <row r="12">
      <c r="B12" s="5" t="inlineStr">
        <is>
          <t>Fija Porcelánico</t>
        </is>
      </c>
      <c r="C12" s="6" t="n">
        <v>39</v>
      </c>
      <c r="D12" s="6" t="n">
        <v>14</v>
      </c>
      <c r="E12" s="7">
        <f>IF(D12=0,"AGOTADO",IF(D12/C12&lt;=0.15,"CRÍTICO",IF(D12/C12&lt;=0.4,"BAJO","OK")))</f>
        <v/>
      </c>
      <c r="F12" s="8" t="n"/>
    </row>
    <row r="14">
      <c r="B14" s="3" t="inlineStr">
        <is>
          <t>📦  LOTE 34 (CABERNET) MZA 14</t>
        </is>
      </c>
    </row>
    <row r="15">
      <c r="B15" s="4" t="inlineStr">
        <is>
          <t>Material</t>
        </is>
      </c>
      <c r="C15" s="4" t="inlineStr">
        <is>
          <t>Inicial</t>
        </is>
      </c>
      <c r="D15" s="4" t="inlineStr">
        <is>
          <t>Actual</t>
        </is>
      </c>
      <c r="E15" s="4" t="inlineStr">
        <is>
          <t>Estado</t>
        </is>
      </c>
      <c r="F15" s="4" t="inlineStr">
        <is>
          <t>Notas</t>
        </is>
      </c>
    </row>
    <row r="16">
      <c r="B16" s="5" t="inlineStr">
        <is>
          <t>Piso Moret</t>
        </is>
      </c>
      <c r="C16" s="6" t="n">
        <v>117</v>
      </c>
      <c r="D16" s="6" t="n">
        <v>0</v>
      </c>
      <c r="E16" s="7">
        <f>IF(D16=0,"AGOTADO",IF(D16/C16&lt;=0.15,"CRÍTICO",IF(D16/C16&lt;=0.4,"BAJO","OK")))</f>
        <v/>
      </c>
      <c r="F16" s="8" t="n"/>
    </row>
    <row r="17">
      <c r="B17" s="5" t="inlineStr">
        <is>
          <t>Urbania White</t>
        </is>
      </c>
      <c r="C17" s="6" t="n">
        <v>8</v>
      </c>
      <c r="D17" s="6" t="n">
        <v>0</v>
      </c>
      <c r="E17" s="7">
        <f>IF(D17=0,"AGOTADO",IF(D17/C17&lt;=0.15,"CRÍTICO",IF(D17/C17&lt;=0.4,"BAJO","OK")))</f>
        <v/>
      </c>
      <c r="F17" s="8" t="n"/>
    </row>
    <row r="18">
      <c r="B18" s="5" t="inlineStr">
        <is>
          <t>Malla Lyndhurst</t>
        </is>
      </c>
      <c r="C18" s="6" t="n">
        <v>28</v>
      </c>
      <c r="D18" s="6" t="n">
        <v>0</v>
      </c>
      <c r="E18" s="7">
        <f>IF(D18=0,"AGOTADO",IF(D18/C18&lt;=0.15,"CRÍTICO",IF(D18/C18&lt;=0.4,"BAJO","OK")))</f>
        <v/>
      </c>
      <c r="F18" s="8" t="n"/>
    </row>
    <row r="19">
      <c r="B19" s="5" t="inlineStr">
        <is>
          <t>Royal Walnut (duela)</t>
        </is>
      </c>
      <c r="C19" s="6" t="n">
        <v>41</v>
      </c>
      <c r="D19" s="6" t="n">
        <v>0</v>
      </c>
      <c r="E19" s="7">
        <f>IF(D19=0,"AGOTADO",IF(D19/C19&lt;=0.15,"CRÍTICO",IF(D19/C19&lt;=0.4,"BAJO","OK")))</f>
        <v/>
      </c>
      <c r="F19" s="8" t="n"/>
    </row>
    <row r="20">
      <c r="B20" s="5" t="inlineStr">
        <is>
          <t>Pegavitro</t>
        </is>
      </c>
      <c r="C20" s="6" t="n">
        <v>93</v>
      </c>
      <c r="D20" s="6" t="n">
        <v>0</v>
      </c>
      <c r="E20" s="7">
        <f>IF(D20=0,"AGOTADO",IF(D20/C20&lt;=0.15,"CRÍTICO",IF(D20/C20&lt;=0.4,"BAJO","OK")))</f>
        <v/>
      </c>
      <c r="F20" s="8" t="n"/>
    </row>
    <row r="21">
      <c r="B21" s="5" t="inlineStr">
        <is>
          <t>Unicrest</t>
        </is>
      </c>
      <c r="C21" s="6" t="n">
        <v>20</v>
      </c>
      <c r="D21" s="6" t="n">
        <v>0</v>
      </c>
      <c r="E21" s="7">
        <f>IF(D21=0,"AGOTADO",IF(D21/C21&lt;=0.15,"CRÍTICO",IF(D21/C21&lt;=0.4,"BAJO","OK")))</f>
        <v/>
      </c>
      <c r="F21" s="8" t="n"/>
    </row>
    <row r="22">
      <c r="B22" s="5" t="inlineStr">
        <is>
          <t>Vitroblock P.A. (pza)</t>
        </is>
      </c>
      <c r="C22" s="6" t="n">
        <v>28</v>
      </c>
      <c r="D22" s="6" t="n">
        <v>0</v>
      </c>
      <c r="E22" s="7">
        <f>IF(D22=0,"AGOTADO",IF(D22/C22&lt;=0.15,"CRÍTICO",IF(D22/C22&lt;=0.4,"BAJO","OK")))</f>
        <v/>
      </c>
      <c r="F22" s="8" t="n"/>
    </row>
    <row r="24">
      <c r="B24" s="3" t="inlineStr">
        <is>
          <t>📦  LOTE 9 (MERLOT) MZA 7</t>
        </is>
      </c>
    </row>
    <row r="25">
      <c r="B25" s="4" t="inlineStr">
        <is>
          <t>Material</t>
        </is>
      </c>
      <c r="C25" s="4" t="inlineStr">
        <is>
          <t>Inicial</t>
        </is>
      </c>
      <c r="D25" s="4" t="inlineStr">
        <is>
          <t>Actual</t>
        </is>
      </c>
      <c r="E25" s="4" t="inlineStr">
        <is>
          <t>Estado</t>
        </is>
      </c>
      <c r="F25" s="4" t="inlineStr">
        <is>
          <t>Notas</t>
        </is>
      </c>
    </row>
    <row r="26">
      <c r="B26" s="5" t="inlineStr">
        <is>
          <t>Piso Moret</t>
        </is>
      </c>
      <c r="C26" s="6" t="n">
        <v>98</v>
      </c>
      <c r="D26" s="6" t="n">
        <v>0</v>
      </c>
      <c r="E26" s="7">
        <f>IF(D26=0,"AGOTADO",IF(D26/C26&lt;=0.15,"CRÍTICO",IF(D26/C26&lt;=0.4,"BAJO","OK")))</f>
        <v/>
      </c>
      <c r="F26" s="8" t="n"/>
    </row>
    <row r="27">
      <c r="B27" s="5" t="inlineStr">
        <is>
          <t>Urbania White</t>
        </is>
      </c>
      <c r="C27" s="6" t="n">
        <v>8</v>
      </c>
      <c r="D27" s="6" t="n">
        <v>0</v>
      </c>
      <c r="E27" s="7">
        <f>IF(D27=0,"AGOTADO",IF(D27/C27&lt;=0.15,"CRÍTICO",IF(D27/C27&lt;=0.4,"BAJO","OK")))</f>
        <v/>
      </c>
      <c r="F27" s="8" t="n"/>
    </row>
    <row r="28">
      <c r="B28" s="5" t="inlineStr">
        <is>
          <t>Malla Lyndhurst</t>
        </is>
      </c>
      <c r="C28" s="6" t="n">
        <v>17</v>
      </c>
      <c r="D28" s="6" t="n">
        <v>13</v>
      </c>
      <c r="E28" s="7">
        <f>IF(D28=0,"AGOTADO",IF(D28/C28&lt;=0.15,"CRÍTICO",IF(D28/C28&lt;=0.4,"BAJO","OK")))</f>
        <v/>
      </c>
      <c r="F28" s="8" t="n"/>
    </row>
    <row r="29">
      <c r="B29" s="5" t="inlineStr">
        <is>
          <t>Royal Walnut (duela)</t>
        </is>
      </c>
      <c r="C29" s="6" t="n">
        <v>37</v>
      </c>
      <c r="D29" s="6" t="n">
        <v>0</v>
      </c>
      <c r="E29" s="7">
        <f>IF(D29=0,"AGOTADO",IF(D29/C29&lt;=0.15,"CRÍTICO",IF(D29/C29&lt;=0.4,"BAJO","OK")))</f>
        <v/>
      </c>
      <c r="F29" s="8" t="n"/>
    </row>
    <row r="30">
      <c r="B30" s="5" t="inlineStr">
        <is>
          <t>Pegavitro</t>
        </is>
      </c>
      <c r="C30" s="6" t="n">
        <v>79</v>
      </c>
      <c r="D30" s="6" t="n">
        <v>0</v>
      </c>
      <c r="E30" s="7">
        <f>IF(D30=0,"AGOTADO",IF(D30/C30&lt;=0.15,"CRÍTICO",IF(D30/C30&lt;=0.4,"BAJO","OK")))</f>
        <v/>
      </c>
      <c r="F30" s="8" t="n"/>
    </row>
    <row r="31">
      <c r="B31" s="5" t="inlineStr">
        <is>
          <t>Fija Porcelánico</t>
        </is>
      </c>
      <c r="C31" s="6" t="n">
        <v>39</v>
      </c>
      <c r="D31" s="6" t="n">
        <v>0</v>
      </c>
      <c r="E31" s="7">
        <f>IF(D31=0,"AGOTADO",IF(D31/C31&lt;=0.15,"CRÍTICO",IF(D31/C31&lt;=0.4,"BAJO","OK")))</f>
        <v/>
      </c>
      <c r="F31" s="8" t="n"/>
    </row>
    <row r="33">
      <c r="B33" s="9" t="inlineStr">
        <is>
          <t>🚚  LOTE 33 (CABERNET) MZA 14  ·  POR LLEGAR</t>
        </is>
      </c>
    </row>
    <row r="34">
      <c r="B34" s="4" t="inlineStr">
        <is>
          <t>Material</t>
        </is>
      </c>
      <c r="C34" s="4" t="inlineStr">
        <is>
          <t>Esperado</t>
        </is>
      </c>
      <c r="D34" s="4" t="inlineStr">
        <is>
          <t>Actual</t>
        </is>
      </c>
      <c r="E34" s="4" t="inlineStr">
        <is>
          <t>Estado</t>
        </is>
      </c>
      <c r="F34" s="4" t="inlineStr">
        <is>
          <t>Notas</t>
        </is>
      </c>
    </row>
    <row r="35">
      <c r="B35" s="5" t="inlineStr">
        <is>
          <t>Piso Moret</t>
        </is>
      </c>
      <c r="C35" s="6" t="n">
        <v>117</v>
      </c>
      <c r="D35" s="8" t="n"/>
      <c r="E35" s="10">
        <f>IF(D35="","POR LLEGAR",IF(C35="","—",IF(D35=0,"AGOTADO",IF(D35/C35&lt;=0.15,"CRÍTICO",IF(D35/C35&lt;=0.4,"BAJO","OK")))))</f>
        <v/>
      </c>
      <c r="F35" s="11" t="inlineStr">
        <is>
          <t>Llena 'Actual' cuando llegue el material</t>
        </is>
      </c>
    </row>
    <row r="36">
      <c r="B36" s="5" t="inlineStr">
        <is>
          <t>Urbania White</t>
        </is>
      </c>
      <c r="C36" s="6" t="n">
        <v>8</v>
      </c>
      <c r="D36" s="8" t="n"/>
      <c r="E36" s="10">
        <f>IF(D36="","POR LLEGAR",IF(C36="","—",IF(D36=0,"AGOTADO",IF(D36/C36&lt;=0.15,"CRÍTICO",IF(D36/C36&lt;=0.4,"BAJO","OK")))))</f>
        <v/>
      </c>
      <c r="F36" s="11" t="inlineStr">
        <is>
          <t>Llena 'Actual' cuando llegue el material</t>
        </is>
      </c>
    </row>
    <row r="37">
      <c r="B37" s="5" t="inlineStr">
        <is>
          <t>Malla Lyndhurst</t>
        </is>
      </c>
      <c r="C37" s="6" t="n">
        <v>28</v>
      </c>
      <c r="D37" s="8" t="n"/>
      <c r="E37" s="10">
        <f>IF(D37="","POR LLEGAR",IF(C37="","—",IF(D37=0,"AGOTADO",IF(D37/C37&lt;=0.15,"CRÍTICO",IF(D37/C37&lt;=0.4,"BAJO","OK")))))</f>
        <v/>
      </c>
      <c r="F37" s="11" t="inlineStr">
        <is>
          <t>Llena 'Actual' cuando llegue el material</t>
        </is>
      </c>
    </row>
    <row r="38">
      <c r="B38" s="5" t="inlineStr">
        <is>
          <t>Royal Walnut (duela)</t>
        </is>
      </c>
      <c r="C38" s="6" t="n">
        <v>41</v>
      </c>
      <c r="D38" s="8" t="n"/>
      <c r="E38" s="10">
        <f>IF(D38="","POR LLEGAR",IF(C38="","—",IF(D38=0,"AGOTADO",IF(D38/C38&lt;=0.15,"CRÍTICO",IF(D38/C38&lt;=0.4,"BAJO","OK")))))</f>
        <v/>
      </c>
      <c r="F38" s="11" t="inlineStr">
        <is>
          <t>Llena 'Actual' cuando llegue el material</t>
        </is>
      </c>
    </row>
    <row r="39">
      <c r="B39" s="5" t="inlineStr">
        <is>
          <t>Pegavitro</t>
        </is>
      </c>
      <c r="C39" s="6" t="n">
        <v>93</v>
      </c>
      <c r="D39" s="8" t="n"/>
      <c r="E39" s="10">
        <f>IF(D39="","POR LLEGAR",IF(C39="","—",IF(D39=0,"AGOTADO",IF(D39/C39&lt;=0.15,"CRÍTICO",IF(D39/C39&lt;=0.4,"BAJO","OK")))))</f>
        <v/>
      </c>
      <c r="F39" s="11" t="inlineStr">
        <is>
          <t>Llena 'Actual' cuando llegue el material</t>
        </is>
      </c>
    </row>
    <row r="40">
      <c r="B40" s="5" t="inlineStr">
        <is>
          <t>Unicrest</t>
        </is>
      </c>
      <c r="C40" s="6" t="n">
        <v>20</v>
      </c>
      <c r="D40" s="8" t="n"/>
      <c r="E40" s="10">
        <f>IF(D40="","POR LLEGAR",IF(C40="","—",IF(D40=0,"AGOTADO",IF(D40/C40&lt;=0.15,"CRÍTICO",IF(D40/C40&lt;=0.4,"BAJO","OK")))))</f>
        <v/>
      </c>
      <c r="F40" s="11" t="inlineStr">
        <is>
          <t>Llena 'Actual' cuando llegue el material</t>
        </is>
      </c>
    </row>
    <row r="41">
      <c r="B41" s="5" t="inlineStr">
        <is>
          <t>Vitroblock P.A. (pza)</t>
        </is>
      </c>
      <c r="C41" s="6" t="n">
        <v>28</v>
      </c>
      <c r="D41" s="8" t="n"/>
      <c r="E41" s="10">
        <f>IF(D41="","POR LLEGAR",IF(C41="","—",IF(D41=0,"AGOTADO",IF(D41/C41&lt;=0.15,"CRÍTICO",IF(D41/C41&lt;=0.4,"BAJO","OK")))))</f>
        <v/>
      </c>
      <c r="F41" s="11" t="inlineStr">
        <is>
          <t>Llena 'Actual' cuando llegue el material</t>
        </is>
      </c>
    </row>
    <row r="43">
      <c r="B43" s="9" t="inlineStr">
        <is>
          <t>🚚  LOTE 19 (CHARDONNAY) MZA 7  ·  POR LLEGAR</t>
        </is>
      </c>
    </row>
    <row r="44">
      <c r="B44" s="4" t="inlineStr">
        <is>
          <t>Material</t>
        </is>
      </c>
      <c r="C44" s="4" t="inlineStr">
        <is>
          <t>Esperado</t>
        </is>
      </c>
      <c r="D44" s="4" t="inlineStr">
        <is>
          <t>Actual</t>
        </is>
      </c>
      <c r="E44" s="4" t="inlineStr">
        <is>
          <t>Estado</t>
        </is>
      </c>
      <c r="F44" s="4" t="inlineStr">
        <is>
          <t>Notas</t>
        </is>
      </c>
    </row>
    <row r="45">
      <c r="B45" s="5" t="inlineStr">
        <is>
          <t>Piso Moret</t>
        </is>
      </c>
      <c r="C45" s="6" t="n">
        <v>127</v>
      </c>
      <c r="D45" s="8" t="n"/>
      <c r="E45" s="10">
        <f>IF(D45="","POR LLEGAR",IF(C45="","—",IF(D45=0,"AGOTADO",IF(D45/C45&lt;=0.15,"CRÍTICO",IF(D45/C45&lt;=0.4,"BAJO","OK")))))</f>
        <v/>
      </c>
      <c r="F45" s="11" t="inlineStr">
        <is>
          <t>Esperado del presupuesto; adhesivos por confirmar al llegar</t>
        </is>
      </c>
    </row>
    <row r="46">
      <c r="B46" s="5" t="inlineStr">
        <is>
          <t>Urbania White</t>
        </is>
      </c>
      <c r="C46" s="6" t="n">
        <v>8</v>
      </c>
      <c r="D46" s="8" t="n"/>
      <c r="E46" s="10">
        <f>IF(D46="","POR LLEGAR",IF(C46="","—",IF(D46=0,"AGOTADO",IF(D46/C46&lt;=0.15,"CRÍTICO",IF(D46/C46&lt;=0.4,"BAJO","OK")))))</f>
        <v/>
      </c>
      <c r="F46" s="11" t="inlineStr">
        <is>
          <t>Esperado del presupuesto; adhesivos por confirmar al llegar</t>
        </is>
      </c>
    </row>
    <row r="47">
      <c r="B47" s="5" t="inlineStr">
        <is>
          <t>Malla Lyndhurst</t>
        </is>
      </c>
      <c r="C47" s="6" t="n">
        <v>28</v>
      </c>
      <c r="D47" s="8" t="n"/>
      <c r="E47" s="10">
        <f>IF(D47="","POR LLEGAR",IF(C47="","—",IF(D47=0,"AGOTADO",IF(D47/C47&lt;=0.15,"CRÍTICO",IF(D47/C47&lt;=0.4,"BAJO","OK")))))</f>
        <v/>
      </c>
      <c r="F47" s="11" t="inlineStr">
        <is>
          <t>Esperado del presupuesto; adhesivos por confirmar al llegar</t>
        </is>
      </c>
    </row>
    <row r="48">
      <c r="B48" s="5" t="inlineStr">
        <is>
          <t>Royal Walnut (duela)</t>
        </is>
      </c>
      <c r="C48" s="6" t="n">
        <v>32</v>
      </c>
      <c r="D48" s="8" t="n"/>
      <c r="E48" s="10">
        <f>IF(D48="","POR LLEGAR",IF(C48="","—",IF(D48=0,"AGOTADO",IF(D48/C48&lt;=0.15,"CRÍTICO",IF(D48/C48&lt;=0.4,"BAJO","OK")))))</f>
        <v/>
      </c>
      <c r="F48" s="11" t="inlineStr">
        <is>
          <t>Esperado del presupuesto; adhesivos por confirmar al llegar</t>
        </is>
      </c>
    </row>
    <row r="49">
      <c r="B49" s="5" t="inlineStr">
        <is>
          <t>Pegavitro</t>
        </is>
      </c>
      <c r="C49" s="8" t="n"/>
      <c r="D49" s="8" t="n"/>
      <c r="E49" s="10">
        <f>IF(D49="","POR LLEGAR",IF(C49="","—",IF(D49=0,"AGOTADO",IF(D49/C49&lt;=0.15,"CRÍTICO",IF(D49/C49&lt;=0.4,"BAJO","OK")))))</f>
        <v/>
      </c>
      <c r="F49" s="11" t="inlineStr">
        <is>
          <t>Esperado del presupuesto; adhesivos por confirmar al llegar</t>
        </is>
      </c>
    </row>
    <row r="50">
      <c r="B50" s="5" t="inlineStr">
        <is>
          <t>Fija Porcelánico</t>
        </is>
      </c>
      <c r="C50" s="8" t="n"/>
      <c r="D50" s="8" t="n"/>
      <c r="E50" s="10">
        <f>IF(D50="","POR LLEGAR",IF(C50="","—",IF(D50=0,"AGOTADO",IF(D50/C50&lt;=0.15,"CRÍTICO",IF(D50/C50&lt;=0.4,"BAJO","OK")))))</f>
        <v/>
      </c>
      <c r="F50" s="11" t="inlineStr">
        <is>
          <t>Esperado del presupuesto; adhesivos por confirmar al llegar</t>
        </is>
      </c>
    </row>
    <row r="52">
      <c r="B52" s="3" t="inlineStr">
        <is>
          <t>🧰  EXTRAS Y GENERAL · ALMACÉN</t>
        </is>
      </c>
    </row>
    <row r="53">
      <c r="B53" s="12" t="inlineStr">
        <is>
          <t>Boquilla Crest Cantera 5 kg</t>
        </is>
      </c>
      <c r="C53" s="13" t="inlineStr">
        <is>
          <t>3 cajas</t>
        </is>
      </c>
      <c r="D53" s="14" t="n"/>
      <c r="E53" s="14" t="n"/>
      <c r="F53" s="14" t="n"/>
    </row>
    <row r="54">
      <c r="B54" s="12" t="inlineStr">
        <is>
          <t>Boquilla Crest Blanco 5 kg</t>
        </is>
      </c>
      <c r="C54" s="13" t="inlineStr">
        <is>
          <t>2 cajas</t>
        </is>
      </c>
      <c r="D54" s="14" t="n"/>
      <c r="E54" s="14" t="n"/>
      <c r="F54" s="14" t="n"/>
    </row>
    <row r="55">
      <c r="B55" s="12" t="inlineStr">
        <is>
          <t>Boquilla Crest Chocolate 5 kg</t>
        </is>
      </c>
      <c r="C55" s="13" t="inlineStr">
        <is>
          <t>2 cajas</t>
        </is>
      </c>
      <c r="D55" s="14" t="n"/>
      <c r="E55" s="14" t="n"/>
      <c r="F55" s="14" t="n"/>
    </row>
    <row r="56">
      <c r="B56" s="12" t="inlineStr">
        <is>
          <t>Boquilla Crest Plata 5 kg</t>
        </is>
      </c>
      <c r="C56" s="13" t="inlineStr">
        <is>
          <t>1 caja</t>
        </is>
      </c>
      <c r="D56" s="14" t="n"/>
      <c r="E56" s="14" t="n"/>
      <c r="F56" s="14" t="n"/>
    </row>
    <row r="57">
      <c r="B57" s="12" t="inlineStr">
        <is>
          <t>Kretbond 20 kg (basecoat)</t>
        </is>
      </c>
      <c r="C57" s="13" t="inlineStr">
        <is>
          <t>5 sacos</t>
        </is>
      </c>
      <c r="D57" s="14" t="n"/>
      <c r="E57" s="14" t="n"/>
      <c r="F57" s="14" t="n"/>
    </row>
    <row r="58">
      <c r="B58" s="12" t="inlineStr">
        <is>
          <t>Econotex/Recubritech fino 20 kg</t>
        </is>
      </c>
      <c r="C58" s="13" t="inlineStr">
        <is>
          <t>2 sacos</t>
        </is>
      </c>
      <c r="D58" s="14" t="n"/>
      <c r="E58" s="14" t="n"/>
      <c r="F58" s="14" t="n"/>
    </row>
    <row r="59">
      <c r="B59" s="12" t="inlineStr">
        <is>
          <t>BlueFence 20 lt (impermeabilizante)</t>
        </is>
      </c>
      <c r="C59" s="13" t="inlineStr">
        <is>
          <t>1 cubeta</t>
        </is>
      </c>
      <c r="D59" s="14" t="n"/>
      <c r="E59" s="14" t="n"/>
      <c r="F59" s="14" t="n"/>
    </row>
  </sheetData>
  <mergeCells count="8">
    <mergeCell ref="B43:F43"/>
    <mergeCell ref="B24:F24"/>
    <mergeCell ref="B2:F2"/>
    <mergeCell ref="B33:F33"/>
    <mergeCell ref="B3:F3"/>
    <mergeCell ref="B5:F5"/>
    <mergeCell ref="B14:F14"/>
    <mergeCell ref="B52:F52"/>
  </mergeCells>
  <conditionalFormatting sqref="E7:E12">
    <cfRule type="cellIs" priority="1" operator="equal" dxfId="0">
      <formula>"AGOTADO"</formula>
    </cfRule>
    <cfRule type="cellIs" priority="2" operator="equal" dxfId="1">
      <formula>"CRÍTICO"</formula>
    </cfRule>
    <cfRule type="cellIs" priority="3" operator="equal" dxfId="2">
      <formula>"BAJO"</formula>
    </cfRule>
    <cfRule type="cellIs" priority="4" operator="equal" dxfId="3">
      <formula>"OK"</formula>
    </cfRule>
    <cfRule type="cellIs" priority="5" operator="equal" dxfId="4">
      <formula>"POR LLEGAR"</formula>
    </cfRule>
  </conditionalFormatting>
  <conditionalFormatting sqref="E16:E22">
    <cfRule type="cellIs" priority="6" operator="equal" dxfId="0">
      <formula>"AGOTADO"</formula>
    </cfRule>
    <cfRule type="cellIs" priority="7" operator="equal" dxfId="1">
      <formula>"CRÍTICO"</formula>
    </cfRule>
    <cfRule type="cellIs" priority="8" operator="equal" dxfId="2">
      <formula>"BAJO"</formula>
    </cfRule>
    <cfRule type="cellIs" priority="9" operator="equal" dxfId="3">
      <formula>"OK"</formula>
    </cfRule>
    <cfRule type="cellIs" priority="10" operator="equal" dxfId="4">
      <formula>"POR LLEGAR"</formula>
    </cfRule>
  </conditionalFormatting>
  <conditionalFormatting sqref="E26:E31">
    <cfRule type="cellIs" priority="11" operator="equal" dxfId="0">
      <formula>"AGOTADO"</formula>
    </cfRule>
    <cfRule type="cellIs" priority="12" operator="equal" dxfId="1">
      <formula>"CRÍTICO"</formula>
    </cfRule>
    <cfRule type="cellIs" priority="13" operator="equal" dxfId="2">
      <formula>"BAJO"</formula>
    </cfRule>
    <cfRule type="cellIs" priority="14" operator="equal" dxfId="3">
      <formula>"OK"</formula>
    </cfRule>
    <cfRule type="cellIs" priority="15" operator="equal" dxfId="4">
      <formula>"POR LLEGAR"</formula>
    </cfRule>
  </conditionalFormatting>
  <conditionalFormatting sqref="E35:E41">
    <cfRule type="cellIs" priority="16" operator="equal" dxfId="0">
      <formula>"AGOTADO"</formula>
    </cfRule>
    <cfRule type="cellIs" priority="17" operator="equal" dxfId="1">
      <formula>"CRÍTICO"</formula>
    </cfRule>
    <cfRule type="cellIs" priority="18" operator="equal" dxfId="2">
      <formula>"BAJO"</formula>
    </cfRule>
    <cfRule type="cellIs" priority="19" operator="equal" dxfId="3">
      <formula>"OK"</formula>
    </cfRule>
    <cfRule type="cellIs" priority="20" operator="equal" dxfId="4">
      <formula>"POR LLEGAR"</formula>
    </cfRule>
  </conditionalFormatting>
  <conditionalFormatting sqref="E45:E50">
    <cfRule type="cellIs" priority="21" operator="equal" dxfId="0">
      <formula>"AGOTADO"</formula>
    </cfRule>
    <cfRule type="cellIs" priority="22" operator="equal" dxfId="1">
      <formula>"CRÍTICO"</formula>
    </cfRule>
    <cfRule type="cellIs" priority="23" operator="equal" dxfId="2">
      <formula>"BAJO"</formula>
    </cfRule>
    <cfRule type="cellIs" priority="24" operator="equal" dxfId="3">
      <formula>"OK"</formula>
    </cfRule>
    <cfRule type="cellIs" priority="25" operator="equal" dxfId="4">
      <formula>"POR LLEGAR"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2:N42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26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2">
      <c r="A2" s="15" t="inlineStr">
        <is>
          <t>HISTORIAL DE INVENTARIO — LOTE 34 MZA 14</t>
        </is>
      </c>
    </row>
    <row r="3">
      <c r="A3" s="16" t="inlineStr">
        <is>
          <t>Salió = sale solo (saldo anterior − saldo del día) · Para registrar un día nuevo: escribe en el primer renglón en blanco (la tabla se extiende sola).</t>
        </is>
      </c>
    </row>
    <row r="5">
      <c r="A5" s="17" t="inlineStr">
        <is>
          <t>Fecha</t>
        </is>
      </c>
      <c r="B5" s="17" t="inlineStr">
        <is>
          <t>Pisero</t>
        </is>
      </c>
      <c r="C5" s="18" t="inlineStr">
        <is>
          <t>Salió Moret</t>
        </is>
      </c>
      <c r="D5" s="18" t="inlineStr">
        <is>
          <t>Salió Urbania</t>
        </is>
      </c>
      <c r="E5" s="18" t="inlineStr">
        <is>
          <t>Salió Malla</t>
        </is>
      </c>
      <c r="F5" s="18" t="inlineStr">
        <is>
          <t>Salió Duela</t>
        </is>
      </c>
      <c r="G5" s="18" t="inlineStr">
        <is>
          <t>Salió Pegavitro</t>
        </is>
      </c>
      <c r="H5" s="18" t="inlineStr">
        <is>
          <t>Salió Unicrest</t>
        </is>
      </c>
      <c r="I5" s="17" t="inlineStr">
        <is>
          <t>Piso Moret</t>
        </is>
      </c>
      <c r="J5" s="17" t="inlineStr">
        <is>
          <t>Urbania White</t>
        </is>
      </c>
      <c r="K5" s="17" t="inlineStr">
        <is>
          <t>Malla Lyndhurst</t>
        </is>
      </c>
      <c r="L5" s="17" t="inlineStr">
        <is>
          <t>Royal Walnut</t>
        </is>
      </c>
      <c r="M5" s="17" t="inlineStr">
        <is>
          <t>Pegavitro</t>
        </is>
      </c>
      <c r="N5" s="17" t="inlineStr">
        <is>
          <t>Unicrest</t>
        </is>
      </c>
    </row>
    <row r="6">
      <c r="A6" s="19" t="inlineStr">
        <is>
          <t>▶ Inicial</t>
        </is>
      </c>
      <c r="B6" s="20" t="inlineStr"/>
      <c r="C6" s="21" t="n"/>
      <c r="D6" s="21" t="n"/>
      <c r="E6" s="21" t="n"/>
      <c r="F6" s="21" t="n"/>
      <c r="G6" s="21" t="n"/>
      <c r="H6" s="21" t="n"/>
      <c r="I6" s="22" t="n">
        <v>117</v>
      </c>
      <c r="J6" s="22" t="n">
        <v>8</v>
      </c>
      <c r="K6" s="22" t="n">
        <v>28</v>
      </c>
      <c r="L6" s="22" t="n">
        <v>41</v>
      </c>
      <c r="M6" s="22" t="n">
        <v>93</v>
      </c>
      <c r="N6" s="22" t="n">
        <v>20</v>
      </c>
    </row>
    <row r="7">
      <c r="A7" s="19" t="inlineStr">
        <is>
          <t>30 abr</t>
        </is>
      </c>
      <c r="B7" s="20" t="inlineStr">
        <is>
          <t>Jesús Valdez</t>
        </is>
      </c>
      <c r="C7" s="21">
        <f>IF($I7="","",IF(N($I6)-$I7&lt;=0,"",N($I6)-$I7))</f>
        <v/>
      </c>
      <c r="D7" s="21">
        <f>IF($J7="","",IF(N($J6)-$J7&lt;=0,"",N($J6)-$J7))</f>
        <v/>
      </c>
      <c r="E7" s="21">
        <f>IF($K7="","",IF(N($K6)-$K7&lt;=0,"",N($K6)-$K7))</f>
        <v/>
      </c>
      <c r="F7" s="21">
        <f>IF($L7="","",IF(N($L6)-$L7&lt;=0,"",N($L6)-$L7))</f>
        <v/>
      </c>
      <c r="G7" s="21">
        <f>IF($M7="","",IF(N($M6)-$M7&lt;=0,"",N($M6)-$M7))</f>
        <v/>
      </c>
      <c r="H7" s="21">
        <f>IF($N7="","",IF(N($N6)-$N7&lt;=0,"",N($N6)-$N7))</f>
        <v/>
      </c>
      <c r="I7" s="23" t="n">
        <v>110</v>
      </c>
      <c r="J7" s="23" t="n">
        <v>8</v>
      </c>
      <c r="K7" s="23" t="n">
        <v>28</v>
      </c>
      <c r="L7" s="23" t="n">
        <v>36</v>
      </c>
      <c r="M7" s="23" t="n">
        <v>84</v>
      </c>
      <c r="N7" s="23" t="n">
        <v>20</v>
      </c>
    </row>
    <row r="8">
      <c r="A8" s="19" t="inlineStr">
        <is>
          <t>01 may</t>
        </is>
      </c>
      <c r="B8" s="20" t="inlineStr">
        <is>
          <t>Jesús Valdez</t>
        </is>
      </c>
      <c r="C8" s="21">
        <f>IF($I8="","",IF(N($I7)-$I8&lt;=0,"",N($I7)-$I8))</f>
        <v/>
      </c>
      <c r="D8" s="21">
        <f>IF($J8="","",IF(N($J7)-$J8&lt;=0,"",N($J7)-$J8))</f>
        <v/>
      </c>
      <c r="E8" s="21">
        <f>IF($K8="","",IF(N($K7)-$K8&lt;=0,"",N($K7)-$K8))</f>
        <v/>
      </c>
      <c r="F8" s="21">
        <f>IF($L8="","",IF(N($L7)-$L8&lt;=0,"",N($L7)-$L8))</f>
        <v/>
      </c>
      <c r="G8" s="21">
        <f>IF($M8="","",IF(N($M7)-$M8&lt;=0,"",N($M7)-$M8))</f>
        <v/>
      </c>
      <c r="H8" s="21">
        <f>IF($N8="","",IF(N($N7)-$N8&lt;=0,"",N($N7)-$N8))</f>
        <v/>
      </c>
      <c r="I8" s="23" t="n">
        <v>110</v>
      </c>
      <c r="J8" s="23" t="n">
        <v>8</v>
      </c>
      <c r="K8" s="23" t="n">
        <v>28</v>
      </c>
      <c r="L8" s="23" t="n">
        <v>26</v>
      </c>
      <c r="M8" s="23" t="n">
        <v>74</v>
      </c>
      <c r="N8" s="23" t="n">
        <v>20</v>
      </c>
    </row>
    <row r="9">
      <c r="A9" s="19" t="inlineStr">
        <is>
          <t>02 may</t>
        </is>
      </c>
      <c r="B9" s="20" t="inlineStr">
        <is>
          <t>Jesús Valdez</t>
        </is>
      </c>
      <c r="C9" s="21">
        <f>IF($I9="","",IF(N($I8)-$I9&lt;=0,"",N($I8)-$I9))</f>
        <v/>
      </c>
      <c r="D9" s="21">
        <f>IF($J9="","",IF(N($J8)-$J9&lt;=0,"",N($J8)-$J9))</f>
        <v/>
      </c>
      <c r="E9" s="21">
        <f>IF($K9="","",IF(N($K8)-$K9&lt;=0,"",N($K8)-$K9))</f>
        <v/>
      </c>
      <c r="F9" s="21">
        <f>IF($L9="","",IF(N($L8)-$L9&lt;=0,"",N($L8)-$L9))</f>
        <v/>
      </c>
      <c r="G9" s="21">
        <f>IF($M9="","",IF(N($M8)-$M9&lt;=0,"",N($M8)-$M9))</f>
        <v/>
      </c>
      <c r="H9" s="21">
        <f>IF($N9="","",IF(N($N8)-$N9&lt;=0,"",N($N8)-$N9))</f>
        <v/>
      </c>
      <c r="I9" s="23" t="n">
        <v>110</v>
      </c>
      <c r="J9" s="23" t="n">
        <v>8</v>
      </c>
      <c r="K9" s="23" t="n">
        <v>28</v>
      </c>
      <c r="L9" s="23" t="n">
        <v>22</v>
      </c>
      <c r="M9" s="23" t="n">
        <v>69</v>
      </c>
      <c r="N9" s="23" t="n">
        <v>20</v>
      </c>
    </row>
    <row r="10">
      <c r="A10" s="19" t="inlineStr">
        <is>
          <t>05 may</t>
        </is>
      </c>
      <c r="B10" s="20" t="inlineStr">
        <is>
          <t>Jesús Valdez</t>
        </is>
      </c>
      <c r="C10" s="21">
        <f>IF($I10="","",IF(N($I9)-$I10&lt;=0,"",N($I9)-$I10))</f>
        <v/>
      </c>
      <c r="D10" s="21">
        <f>IF($J10="","",IF(N($J9)-$J10&lt;=0,"",N($J9)-$J10))</f>
        <v/>
      </c>
      <c r="E10" s="21">
        <f>IF($K10="","",IF(N($K9)-$K10&lt;=0,"",N($K9)-$K10))</f>
        <v/>
      </c>
      <c r="F10" s="21">
        <f>IF($L10="","",IF(N($L9)-$L10&lt;=0,"",N($L9)-$L10))</f>
        <v/>
      </c>
      <c r="G10" s="21">
        <f>IF($M10="","",IF(N($M9)-$M10&lt;=0,"",N($M9)-$M10))</f>
        <v/>
      </c>
      <c r="H10" s="21">
        <f>IF($N10="","",IF(N($N9)-$N10&lt;=0,"",N($N9)-$N10))</f>
        <v/>
      </c>
      <c r="I10" s="23" t="n">
        <v>105</v>
      </c>
      <c r="J10" s="23" t="n">
        <v>8</v>
      </c>
      <c r="K10" s="23" t="n">
        <v>28</v>
      </c>
      <c r="L10" s="23" t="n">
        <v>17</v>
      </c>
      <c r="M10" s="23" t="n">
        <v>59</v>
      </c>
      <c r="N10" s="23" t="n">
        <v>20</v>
      </c>
    </row>
    <row r="11">
      <c r="A11" s="19" t="inlineStr">
        <is>
          <t>06 may</t>
        </is>
      </c>
      <c r="B11" s="20" t="inlineStr">
        <is>
          <t>Jesús Valdez</t>
        </is>
      </c>
      <c r="C11" s="21">
        <f>IF($I11="","",IF(N($I10)-$I11&lt;=0,"",N($I10)-$I11))</f>
        <v/>
      </c>
      <c r="D11" s="21">
        <f>IF($J11="","",IF(N($J10)-$J11&lt;=0,"",N($J10)-$J11))</f>
        <v/>
      </c>
      <c r="E11" s="21">
        <f>IF($K11="","",IF(N($K10)-$K11&lt;=0,"",N($K10)-$K11))</f>
        <v/>
      </c>
      <c r="F11" s="21">
        <f>IF($L11="","",IF(N($L10)-$L11&lt;=0,"",N($L10)-$L11))</f>
        <v/>
      </c>
      <c r="G11" s="21">
        <f>IF($M11="","",IF(N($M10)-$M11&lt;=0,"",N($M10)-$M11))</f>
        <v/>
      </c>
      <c r="H11" s="21">
        <f>IF($N11="","",IF(N($N10)-$N11&lt;=0,"",N($N10)-$N11))</f>
        <v/>
      </c>
      <c r="I11" s="23" t="n">
        <v>105</v>
      </c>
      <c r="J11" s="23" t="n">
        <v>8</v>
      </c>
      <c r="K11" s="23" t="n">
        <v>28</v>
      </c>
      <c r="L11" s="23" t="n">
        <v>14</v>
      </c>
      <c r="M11" s="23" t="n">
        <v>55</v>
      </c>
      <c r="N11" s="23" t="n">
        <v>20</v>
      </c>
    </row>
    <row r="12">
      <c r="A12" s="19" t="inlineStr">
        <is>
          <t>07 may</t>
        </is>
      </c>
      <c r="B12" s="20" t="inlineStr">
        <is>
          <t>Jesús Valdez</t>
        </is>
      </c>
      <c r="C12" s="21">
        <f>IF($I12="","",IF(N($I11)-$I12&lt;=0,"",N($I11)-$I12))</f>
        <v/>
      </c>
      <c r="D12" s="21">
        <f>IF($J12="","",IF(N($J11)-$J12&lt;=0,"",N($J11)-$J12))</f>
        <v/>
      </c>
      <c r="E12" s="21">
        <f>IF($K12="","",IF(N($K11)-$K12&lt;=0,"",N($K11)-$K12))</f>
        <v/>
      </c>
      <c r="F12" s="21">
        <f>IF($L12="","",IF(N($L11)-$L12&lt;=0,"",N($L11)-$L12))</f>
        <v/>
      </c>
      <c r="G12" s="21">
        <f>IF($M12="","",IF(N($M11)-$M12&lt;=0,"",N($M11)-$M12))</f>
        <v/>
      </c>
      <c r="H12" s="21">
        <f>IF($N12="","",IF(N($N11)-$N12&lt;=0,"",N($N11)-$N12))</f>
        <v/>
      </c>
      <c r="I12" s="23" t="n">
        <v>100</v>
      </c>
      <c r="J12" s="23" t="n">
        <v>8</v>
      </c>
      <c r="K12" s="23" t="n">
        <v>28</v>
      </c>
      <c r="L12" s="23" t="n">
        <v>2</v>
      </c>
      <c r="M12" s="23" t="n">
        <v>45</v>
      </c>
      <c r="N12" s="23" t="n">
        <v>14</v>
      </c>
    </row>
    <row r="13">
      <c r="A13" s="19" t="inlineStr">
        <is>
          <t>08 may</t>
        </is>
      </c>
      <c r="B13" s="20" t="inlineStr">
        <is>
          <t>Jesús Valdez</t>
        </is>
      </c>
      <c r="C13" s="21">
        <f>IF($I13="","",IF(N($I12)-$I13&lt;=0,"",N($I12)-$I13))</f>
        <v/>
      </c>
      <c r="D13" s="21">
        <f>IF($J13="","",IF(N($J12)-$J13&lt;=0,"",N($J12)-$J13))</f>
        <v/>
      </c>
      <c r="E13" s="21">
        <f>IF($K13="","",IF(N($K12)-$K13&lt;=0,"",N($K12)-$K13))</f>
        <v/>
      </c>
      <c r="F13" s="21">
        <f>IF($L13="","",IF(N($L12)-$L13&lt;=0,"",N($L12)-$L13))</f>
        <v/>
      </c>
      <c r="G13" s="21">
        <f>IF($M13="","",IF(N($M12)-$M13&lt;=0,"",N($M12)-$M13))</f>
        <v/>
      </c>
      <c r="H13" s="21">
        <f>IF($N13="","",IF(N($N12)-$N13&lt;=0,"",N($N12)-$N13))</f>
        <v/>
      </c>
      <c r="I13" s="23" t="n">
        <v>99</v>
      </c>
      <c r="J13" s="23" t="n">
        <v>8</v>
      </c>
      <c r="K13" s="23" t="n">
        <v>26</v>
      </c>
      <c r="L13" s="23" t="n">
        <v>0</v>
      </c>
      <c r="M13" s="23" t="n">
        <v>41</v>
      </c>
      <c r="N13" s="23" t="n">
        <v>12</v>
      </c>
    </row>
    <row r="14">
      <c r="A14" s="19" t="inlineStr">
        <is>
          <t>11 may</t>
        </is>
      </c>
      <c r="B14" s="20" t="inlineStr">
        <is>
          <t>Jesús Valdez</t>
        </is>
      </c>
      <c r="C14" s="21">
        <f>IF($I14="","",IF(N($I13)-$I14&lt;=0,"",N($I13)-$I14))</f>
        <v/>
      </c>
      <c r="D14" s="21">
        <f>IF($J14="","",IF(N($J13)-$J14&lt;=0,"",N($J13)-$J14))</f>
        <v/>
      </c>
      <c r="E14" s="21">
        <f>IF($K14="","",IF(N($K13)-$K14&lt;=0,"",N($K13)-$K14))</f>
        <v/>
      </c>
      <c r="F14" s="21">
        <f>IF($L14="","",IF(N($L13)-$L14&lt;=0,"",N($L13)-$L14))</f>
        <v/>
      </c>
      <c r="G14" s="21">
        <f>IF($M14="","",IF(N($M13)-$M14&lt;=0,"",N($M13)-$M14))</f>
        <v/>
      </c>
      <c r="H14" s="21">
        <f>IF($N14="","",IF(N($N13)-$N14&lt;=0,"",N($N13)-$N14))</f>
        <v/>
      </c>
      <c r="I14" s="23" t="n">
        <v>94</v>
      </c>
      <c r="J14" s="23" t="n">
        <v>7</v>
      </c>
      <c r="K14" s="23" t="n">
        <v>24</v>
      </c>
      <c r="L14" s="23" t="n">
        <v>0</v>
      </c>
      <c r="M14" s="23" t="n">
        <v>41</v>
      </c>
      <c r="N14" s="23" t="n">
        <v>7</v>
      </c>
    </row>
    <row r="15">
      <c r="A15" s="19" t="inlineStr">
        <is>
          <t>13 may</t>
        </is>
      </c>
      <c r="B15" s="20" t="inlineStr">
        <is>
          <t>Jesús Valdez</t>
        </is>
      </c>
      <c r="C15" s="21">
        <f>IF($I15="","",IF(N($I14)-$I15&lt;=0,"",N($I14)-$I15))</f>
        <v/>
      </c>
      <c r="D15" s="21">
        <f>IF($J15="","",IF(N($J14)-$J15&lt;=0,"",N($J14)-$J15))</f>
        <v/>
      </c>
      <c r="E15" s="21">
        <f>IF($K15="","",IF(N($K14)-$K15&lt;=0,"",N($K14)-$K15))</f>
        <v/>
      </c>
      <c r="F15" s="21">
        <f>IF($L15="","",IF(N($L14)-$L15&lt;=0,"",N($L14)-$L15))</f>
        <v/>
      </c>
      <c r="G15" s="21">
        <f>IF($M15="","",IF(N($M14)-$M15&lt;=0,"",N($M14)-$M15))</f>
        <v/>
      </c>
      <c r="H15" s="21">
        <f>IF($N15="","",IF(N($N14)-$N15&lt;=0,"",N($N14)-$N15))</f>
        <v/>
      </c>
      <c r="I15" s="23" t="n">
        <v>89</v>
      </c>
      <c r="J15" s="23" t="n">
        <v>6</v>
      </c>
      <c r="K15" s="23" t="n">
        <v>22</v>
      </c>
      <c r="L15" s="23" t="n">
        <v>0</v>
      </c>
      <c r="M15" s="23" t="n">
        <v>36</v>
      </c>
      <c r="N15" s="23" t="n">
        <v>4</v>
      </c>
    </row>
    <row r="16">
      <c r="A16" s="19" t="inlineStr">
        <is>
          <t>15 may</t>
        </is>
      </c>
      <c r="B16" s="20" t="inlineStr">
        <is>
          <t>Jesús Valdez</t>
        </is>
      </c>
      <c r="C16" s="21">
        <f>IF($I16="","",IF(N($I15)-$I16&lt;=0,"",N($I15)-$I16))</f>
        <v/>
      </c>
      <c r="D16" s="21">
        <f>IF($J16="","",IF(N($J15)-$J16&lt;=0,"",N($J15)-$J16))</f>
        <v/>
      </c>
      <c r="E16" s="21">
        <f>IF($K16="","",IF(N($K15)-$K16&lt;=0,"",N($K15)-$K16))</f>
        <v/>
      </c>
      <c r="F16" s="21">
        <f>IF($L16="","",IF(N($L15)-$L16&lt;=0,"",N($L15)-$L16))</f>
        <v/>
      </c>
      <c r="G16" s="21">
        <f>IF($M16="","",IF(N($M15)-$M16&lt;=0,"",N($M15)-$M16))</f>
        <v/>
      </c>
      <c r="H16" s="21">
        <f>IF($N16="","",IF(N($N15)-$N16&lt;=0,"",N($N15)-$N16))</f>
        <v/>
      </c>
      <c r="I16" s="23" t="n">
        <v>82</v>
      </c>
      <c r="J16" s="23" t="n">
        <v>6</v>
      </c>
      <c r="K16" s="23" t="n">
        <v>22</v>
      </c>
      <c r="L16" s="23" t="n">
        <v>0</v>
      </c>
      <c r="M16" s="23" t="n">
        <v>34</v>
      </c>
      <c r="N16" s="23" t="n">
        <v>2</v>
      </c>
    </row>
    <row r="17">
      <c r="A17" s="19" t="inlineStr">
        <is>
          <t>19 may</t>
        </is>
      </c>
      <c r="B17" s="20" t="inlineStr">
        <is>
          <t>Jaime</t>
        </is>
      </c>
      <c r="C17" s="21">
        <f>IF($I17="","",IF(N($I16)-$I17&lt;=0,"",N($I16)-$I17))</f>
        <v/>
      </c>
      <c r="D17" s="21">
        <f>IF($J17="","",IF(N($J16)-$J17&lt;=0,"",N($J16)-$J17))</f>
        <v/>
      </c>
      <c r="E17" s="21">
        <f>IF($K17="","",IF(N($K16)-$K17&lt;=0,"",N($K16)-$K17))</f>
        <v/>
      </c>
      <c r="F17" s="21">
        <f>IF($L17="","",IF(N($L16)-$L17&lt;=0,"",N($L16)-$L17))</f>
        <v/>
      </c>
      <c r="G17" s="21">
        <f>IF($M17="","",IF(N($M16)-$M17&lt;=0,"",N($M16)-$M17))</f>
        <v/>
      </c>
      <c r="H17" s="21">
        <f>IF($N17="","",IF(N($N16)-$N17&lt;=0,"",N($N16)-$N17))</f>
        <v/>
      </c>
      <c r="I17" s="23" t="n">
        <v>79</v>
      </c>
      <c r="J17" s="23" t="n">
        <v>5</v>
      </c>
      <c r="K17" s="23" t="n">
        <v>18</v>
      </c>
      <c r="L17" s="23" t="n">
        <v>0</v>
      </c>
      <c r="M17" s="23" t="n">
        <v>34</v>
      </c>
      <c r="N17" s="23" t="n">
        <v>2</v>
      </c>
    </row>
    <row r="18">
      <c r="A18" s="19" t="inlineStr">
        <is>
          <t>20 may</t>
        </is>
      </c>
      <c r="B18" s="20" t="inlineStr">
        <is>
          <t>Jaime</t>
        </is>
      </c>
      <c r="C18" s="21">
        <f>IF($I18="","",IF(N($I17)-$I18&lt;=0,"",N($I17)-$I18))</f>
        <v/>
      </c>
      <c r="D18" s="21">
        <f>IF($J18="","",IF(N($J17)-$J18&lt;=0,"",N($J17)-$J18))</f>
        <v/>
      </c>
      <c r="E18" s="21">
        <f>IF($K18="","",IF(N($K17)-$K18&lt;=0,"",N($K17)-$K18))</f>
        <v/>
      </c>
      <c r="F18" s="21">
        <f>IF($L18="","",IF(N($L17)-$L18&lt;=0,"",N($L17)-$L18))</f>
        <v/>
      </c>
      <c r="G18" s="21">
        <f>IF($M18="","",IF(N($M17)-$M18&lt;=0,"",N($M17)-$M18))</f>
        <v/>
      </c>
      <c r="H18" s="21">
        <f>IF($N18="","",IF(N($N17)-$N18&lt;=0,"",N($N17)-$N18))</f>
        <v/>
      </c>
      <c r="I18" s="23" t="n">
        <v>79</v>
      </c>
      <c r="J18" s="23" t="n">
        <v>4</v>
      </c>
      <c r="K18" s="23" t="n">
        <v>14</v>
      </c>
      <c r="L18" s="23" t="n">
        <v>0</v>
      </c>
      <c r="M18" s="23" t="n">
        <v>30</v>
      </c>
      <c r="N18" s="23" t="n">
        <v>2</v>
      </c>
    </row>
    <row r="19">
      <c r="A19" s="19" t="inlineStr">
        <is>
          <t>22 may</t>
        </is>
      </c>
      <c r="B19" s="20" t="inlineStr">
        <is>
          <t>Jaime</t>
        </is>
      </c>
      <c r="C19" s="21">
        <f>IF($I19="","",IF(N($I18)-$I19&lt;=0,"",N($I18)-$I19))</f>
        <v/>
      </c>
      <c r="D19" s="21">
        <f>IF($J19="","",IF(N($J18)-$J19&lt;=0,"",N($J18)-$J19))</f>
        <v/>
      </c>
      <c r="E19" s="21">
        <f>IF($K19="","",IF(N($K18)-$K19&lt;=0,"",N($K18)-$K19))</f>
        <v/>
      </c>
      <c r="F19" s="21">
        <f>IF($L19="","",IF(N($L18)-$L19&lt;=0,"",N($L18)-$L19))</f>
        <v/>
      </c>
      <c r="G19" s="21">
        <f>IF($M19="","",IF(N($M18)-$M19&lt;=0,"",N($M18)-$M19))</f>
        <v/>
      </c>
      <c r="H19" s="21">
        <f>IF($N19="","",IF(N($N18)-$N19&lt;=0,"",N($N18)-$N19))</f>
        <v/>
      </c>
      <c r="I19" s="23" t="n">
        <v>55</v>
      </c>
      <c r="J19" s="23" t="n">
        <v>2</v>
      </c>
      <c r="K19" s="23" t="n">
        <v>6</v>
      </c>
      <c r="L19" s="23" t="n">
        <v>0</v>
      </c>
      <c r="M19" s="23" t="n">
        <v>10</v>
      </c>
      <c r="N19" s="23" t="n">
        <v>2</v>
      </c>
    </row>
    <row r="20">
      <c r="A20" s="19" t="inlineStr">
        <is>
          <t>01 jun</t>
        </is>
      </c>
      <c r="B20" s="20" t="inlineStr">
        <is>
          <t>Jesús Salmerón</t>
        </is>
      </c>
      <c r="C20" s="21">
        <f>IF($I20="","",IF(N($I19)-$I20&lt;=0,"",N($I19)-$I20))</f>
        <v/>
      </c>
      <c r="D20" s="21">
        <f>IF($J20="","",IF(N($J19)-$J20&lt;=0,"",N($J19)-$J20))</f>
        <v/>
      </c>
      <c r="E20" s="21">
        <f>IF($K20="","",IF(N($K19)-$K20&lt;=0,"",N($K19)-$K20))</f>
        <v/>
      </c>
      <c r="F20" s="21">
        <f>IF($L20="","",IF(N($L19)-$L20&lt;=0,"",N($L19)-$L20))</f>
        <v/>
      </c>
      <c r="G20" s="21">
        <f>IF($M20="","",IF(N($M19)-$M20&lt;=0,"",N($M19)-$M20))</f>
        <v/>
      </c>
      <c r="H20" s="21">
        <f>IF($N20="","",IF(N($N19)-$N20&lt;=0,"",N($N19)-$N20))</f>
        <v/>
      </c>
      <c r="I20" s="23" t="n">
        <v>47</v>
      </c>
      <c r="J20" s="23" t="n">
        <v>1</v>
      </c>
      <c r="K20" s="23" t="n">
        <v>4</v>
      </c>
      <c r="L20" s="23" t="n">
        <v>0</v>
      </c>
      <c r="M20" s="23" t="n">
        <v>8</v>
      </c>
      <c r="N20" s="23" t="n">
        <v>1</v>
      </c>
    </row>
    <row r="21">
      <c r="A21" s="19" t="inlineStr">
        <is>
          <t>02 jun</t>
        </is>
      </c>
      <c r="B21" s="20" t="inlineStr">
        <is>
          <t>Jesús Salmerón</t>
        </is>
      </c>
      <c r="C21" s="21">
        <f>IF($I21="","",IF(N($I20)-$I21&lt;=0,"",N($I20)-$I21))</f>
        <v/>
      </c>
      <c r="D21" s="21">
        <f>IF($J21="","",IF(N($J20)-$J21&lt;=0,"",N($J20)-$J21))</f>
        <v/>
      </c>
      <c r="E21" s="21">
        <f>IF($K21="","",IF(N($K20)-$K21&lt;=0,"",N($K20)-$K21))</f>
        <v/>
      </c>
      <c r="F21" s="21">
        <f>IF($L21="","",IF(N($L20)-$L21&lt;=0,"",N($L20)-$L21))</f>
        <v/>
      </c>
      <c r="G21" s="21">
        <f>IF($M21="","",IF(N($M20)-$M21&lt;=0,"",N($M20)-$M21))</f>
        <v/>
      </c>
      <c r="H21" s="21">
        <f>IF($N21="","",IF(N($N20)-$N21&lt;=0,"",N($N20)-$N21))</f>
        <v/>
      </c>
      <c r="I21" s="23" t="n">
        <v>38</v>
      </c>
      <c r="J21" s="23" t="n">
        <v>0</v>
      </c>
      <c r="K21" s="23" t="n">
        <v>2</v>
      </c>
      <c r="L21" s="23" t="n">
        <v>0</v>
      </c>
      <c r="M21" s="23" t="n">
        <v>6</v>
      </c>
      <c r="N21" s="23" t="n">
        <v>0</v>
      </c>
    </row>
    <row r="22">
      <c r="A22" s="19" t="inlineStr">
        <is>
          <t>03 jun</t>
        </is>
      </c>
      <c r="B22" s="20" t="inlineStr">
        <is>
          <t>Jesús Salmerón</t>
        </is>
      </c>
      <c r="C22" s="21">
        <f>IF($I22="","",IF(N($I21)-$I22&lt;=0,"",N($I21)-$I22))</f>
        <v/>
      </c>
      <c r="D22" s="21">
        <f>IF($J22="","",IF(N($J21)-$J22&lt;=0,"",N($J21)-$J22))</f>
        <v/>
      </c>
      <c r="E22" s="21">
        <f>IF($K22="","",IF(N($K21)-$K22&lt;=0,"",N($K21)-$K22))</f>
        <v/>
      </c>
      <c r="F22" s="21">
        <f>IF($L22="","",IF(N($L21)-$L22&lt;=0,"",N($L21)-$L22))</f>
        <v/>
      </c>
      <c r="G22" s="21">
        <f>IF($M22="","",IF(N($M21)-$M22&lt;=0,"",N($M21)-$M22))</f>
        <v/>
      </c>
      <c r="H22" s="21">
        <f>IF($N22="","",IF(N($N21)-$N22&lt;=0,"",N($N21)-$N22))</f>
        <v/>
      </c>
      <c r="I22" s="23" t="n">
        <v>28</v>
      </c>
      <c r="J22" s="23" t="n">
        <v>0</v>
      </c>
      <c r="K22" s="23" t="n">
        <v>0</v>
      </c>
      <c r="L22" s="23" t="n">
        <v>0</v>
      </c>
      <c r="M22" s="23" t="n">
        <v>4</v>
      </c>
      <c r="N22" s="23" t="n">
        <v>0</v>
      </c>
    </row>
    <row r="23">
      <c r="A23" s="19" t="inlineStr">
        <is>
          <t>04 jun</t>
        </is>
      </c>
      <c r="B23" s="20" t="inlineStr">
        <is>
          <t>Jesús Salmerón</t>
        </is>
      </c>
      <c r="C23" s="21">
        <f>IF($I23="","",IF(N($I22)-$I23&lt;=0,"",N($I22)-$I23))</f>
        <v/>
      </c>
      <c r="D23" s="21">
        <f>IF($J23="","",IF(N($J22)-$J23&lt;=0,"",N($J22)-$J23))</f>
        <v/>
      </c>
      <c r="E23" s="21">
        <f>IF($K23="","",IF(N($K22)-$K23&lt;=0,"",N($K22)-$K23))</f>
        <v/>
      </c>
      <c r="F23" s="21">
        <f>IF($L23="","",IF(N($L22)-$L23&lt;=0,"",N($L22)-$L23))</f>
        <v/>
      </c>
      <c r="G23" s="21">
        <f>IF($M23="","",IF(N($M22)-$M23&lt;=0,"",N($M22)-$M23))</f>
        <v/>
      </c>
      <c r="H23" s="21">
        <f>IF($N23="","",IF(N($N22)-$N23&lt;=0,"",N($N22)-$N23))</f>
        <v/>
      </c>
      <c r="I23" s="23" t="n">
        <v>19</v>
      </c>
      <c r="J23" s="23" t="n">
        <v>0</v>
      </c>
      <c r="K23" s="23" t="n">
        <v>0</v>
      </c>
      <c r="L23" s="23" t="n">
        <v>0</v>
      </c>
      <c r="M23" s="23" t="n">
        <v>2</v>
      </c>
      <c r="N23" s="23" t="n">
        <v>0</v>
      </c>
    </row>
    <row r="24">
      <c r="A24" s="19" t="inlineStr">
        <is>
          <t>05 jun</t>
        </is>
      </c>
      <c r="B24" s="20" t="inlineStr">
        <is>
          <t>Jesús Salmerón</t>
        </is>
      </c>
      <c r="C24" s="21">
        <f>IF($I24="","",IF(N($I23)-$I24&lt;=0,"",N($I23)-$I24))</f>
        <v/>
      </c>
      <c r="D24" s="21">
        <f>IF($J24="","",IF(N($J23)-$J24&lt;=0,"",N($J23)-$J24))</f>
        <v/>
      </c>
      <c r="E24" s="21">
        <f>IF($K24="","",IF(N($K23)-$K24&lt;=0,"",N($K23)-$K24))</f>
        <v/>
      </c>
      <c r="F24" s="21">
        <f>IF($L24="","",IF(N($L23)-$L24&lt;=0,"",N($L23)-$L24))</f>
        <v/>
      </c>
      <c r="G24" s="21">
        <f>IF($M24="","",IF(N($M23)-$M24&lt;=0,"",N($M23)-$M24))</f>
        <v/>
      </c>
      <c r="H24" s="21">
        <f>IF($N24="","",IF(N($N23)-$N24&lt;=0,"",N($N23)-$N24))</f>
        <v/>
      </c>
      <c r="I24" s="23" t="n">
        <v>11</v>
      </c>
      <c r="J24" s="23" t="n">
        <v>0</v>
      </c>
      <c r="K24" s="23" t="n">
        <v>0</v>
      </c>
      <c r="L24" s="23" t="n">
        <v>0</v>
      </c>
      <c r="M24" s="23" t="n">
        <v>1</v>
      </c>
      <c r="N24" s="23" t="n">
        <v>0</v>
      </c>
    </row>
    <row r="25">
      <c r="A25" s="19" t="inlineStr">
        <is>
          <t>06 jun</t>
        </is>
      </c>
      <c r="B25" s="20" t="inlineStr">
        <is>
          <t>Jesús Salmerón</t>
        </is>
      </c>
      <c r="C25" s="21">
        <f>IF($I25="","",IF(N($I24)-$I25&lt;=0,"",N($I24)-$I25))</f>
        <v/>
      </c>
      <c r="D25" s="21">
        <f>IF($J25="","",IF(N($J24)-$J25&lt;=0,"",N($J24)-$J25))</f>
        <v/>
      </c>
      <c r="E25" s="21">
        <f>IF($K25="","",IF(N($K24)-$K25&lt;=0,"",N($K24)-$K25))</f>
        <v/>
      </c>
      <c r="F25" s="21">
        <f>IF($L25="","",IF(N($L24)-$L25&lt;=0,"",N($L24)-$L25))</f>
        <v/>
      </c>
      <c r="G25" s="21">
        <f>IF($M25="","",IF(N($M24)-$M25&lt;=0,"",N($M24)-$M25))</f>
        <v/>
      </c>
      <c r="H25" s="21">
        <f>IF($N25="","",IF(N($N24)-$N25&lt;=0,"",N($N24)-$N25))</f>
        <v/>
      </c>
      <c r="I25" s="23" t="n">
        <v>4</v>
      </c>
      <c r="J25" s="23" t="n">
        <v>0</v>
      </c>
      <c r="K25" s="23" t="n">
        <v>0</v>
      </c>
      <c r="L25" s="23" t="n">
        <v>0</v>
      </c>
      <c r="M25" s="23" t="n">
        <v>0</v>
      </c>
      <c r="N25" s="23" t="n">
        <v>0</v>
      </c>
    </row>
    <row r="26">
      <c r="A26" s="19" t="inlineStr">
        <is>
          <t>22 jun</t>
        </is>
      </c>
      <c r="B26" s="20" t="inlineStr">
        <is>
          <t>Jesús Salmerón</t>
        </is>
      </c>
      <c r="C26" s="21">
        <f>IF($I26="","",IF(N($I25)-$I26&lt;=0,"",N($I25)-$I26))</f>
        <v/>
      </c>
      <c r="D26" s="21">
        <f>IF($J26="","",IF(N($J25)-$J26&lt;=0,"",N($J25)-$J26))</f>
        <v/>
      </c>
      <c r="E26" s="21">
        <f>IF($K26="","",IF(N($K25)-$K26&lt;=0,"",N($K25)-$K26))</f>
        <v/>
      </c>
      <c r="F26" s="21">
        <f>IF($L26="","",IF(N($L25)-$L26&lt;=0,"",N($L25)-$L26))</f>
        <v/>
      </c>
      <c r="G26" s="21">
        <f>IF($M26="","",IF(N($M25)-$M26&lt;=0,"",N($M25)-$M26))</f>
        <v/>
      </c>
      <c r="H26" s="21">
        <f>IF($N26="","",IF(N($N25)-$N26&lt;=0,"",N($N25)-$N26))</f>
        <v/>
      </c>
      <c r="I26" s="23" t="n">
        <v>2</v>
      </c>
      <c r="J26" s="23" t="n">
        <v>0</v>
      </c>
      <c r="K26" s="23" t="n">
        <v>0</v>
      </c>
      <c r="L26" s="23" t="n">
        <v>0</v>
      </c>
      <c r="M26" s="23" t="n">
        <v>0</v>
      </c>
      <c r="N26" s="23" t="n">
        <v>0</v>
      </c>
    </row>
    <row r="27">
      <c r="A27" s="19" t="inlineStr">
        <is>
          <t>24 jun</t>
        </is>
      </c>
      <c r="B27" s="20" t="inlineStr">
        <is>
          <t>Jesús Salmerón</t>
        </is>
      </c>
      <c r="C27" s="21">
        <f>IF($I27="","",IF(N($I26)-$I27&lt;=0,"",N($I26)-$I27))</f>
        <v/>
      </c>
      <c r="D27" s="21">
        <f>IF($J27="","",IF(N($J26)-$J27&lt;=0,"",N($J26)-$J27))</f>
        <v/>
      </c>
      <c r="E27" s="21">
        <f>IF($K27="","",IF(N($K26)-$K27&lt;=0,"",N($K26)-$K27))</f>
        <v/>
      </c>
      <c r="F27" s="21">
        <f>IF($L27="","",IF(N($L26)-$L27&lt;=0,"",N($L26)-$L27))</f>
        <v/>
      </c>
      <c r="G27" s="21">
        <f>IF($M27="","",IF(N($M26)-$M27&lt;=0,"",N($M26)-$M27))</f>
        <v/>
      </c>
      <c r="H27" s="21">
        <f>IF($N27="","",IF(N($N26)-$N27&lt;=0,"",N($N26)-$N27))</f>
        <v/>
      </c>
      <c r="I27" s="23" t="n">
        <v>0</v>
      </c>
      <c r="J27" s="23" t="n">
        <v>0</v>
      </c>
      <c r="K27" s="23" t="n">
        <v>0</v>
      </c>
      <c r="L27" s="23" t="n">
        <v>0</v>
      </c>
      <c r="M27" s="23" t="n">
        <v>0</v>
      </c>
      <c r="N27" s="23" t="n">
        <v>0</v>
      </c>
    </row>
    <row r="28">
      <c r="A28" s="19" t="inlineStr">
        <is>
          <t>★ Corte final</t>
        </is>
      </c>
      <c r="B28" s="20" t="inlineStr"/>
      <c r="C28" s="21">
        <f>IF($I28="","",IF(N($I27)-$I28&lt;=0,"",N($I27)-$I28))</f>
        <v/>
      </c>
      <c r="D28" s="21">
        <f>IF($J28="","",IF(N($J27)-$J28&lt;=0,"",N($J27)-$J28))</f>
        <v/>
      </c>
      <c r="E28" s="21">
        <f>IF($K28="","",IF(N($K27)-$K28&lt;=0,"",N($K27)-$K28))</f>
        <v/>
      </c>
      <c r="F28" s="21">
        <f>IF($L28="","",IF(N($L27)-$L28&lt;=0,"",N($L27)-$L28))</f>
        <v/>
      </c>
      <c r="G28" s="21">
        <f>IF($M28="","",IF(N($M27)-$M28&lt;=0,"",N($M27)-$M28))</f>
        <v/>
      </c>
      <c r="H28" s="21">
        <f>IF($N28="","",IF(N($N27)-$N28&lt;=0,"",N($N27)-$N28))</f>
        <v/>
      </c>
      <c r="I28" s="24" t="n">
        <v>0</v>
      </c>
      <c r="J28" s="24" t="n">
        <v>0</v>
      </c>
      <c r="K28" s="24" t="n">
        <v>0</v>
      </c>
      <c r="L28" s="24" t="n">
        <v>0</v>
      </c>
      <c r="M28" s="24" t="n">
        <v>0</v>
      </c>
      <c r="N28" s="24" t="n">
        <v>0</v>
      </c>
    </row>
    <row r="29">
      <c r="A29" s="20" t="n"/>
      <c r="B29" s="20" t="n"/>
      <c r="C29" s="21">
        <f>IF($I29="","",IF(N($I28)-$I29&lt;=0,"",N($I28)-$I29))</f>
        <v/>
      </c>
      <c r="D29" s="21">
        <f>IF($J29="","",IF(N($J28)-$J29&lt;=0,"",N($J28)-$J29))</f>
        <v/>
      </c>
      <c r="E29" s="21">
        <f>IF($K29="","",IF(N($K28)-$K29&lt;=0,"",N($K28)-$K29))</f>
        <v/>
      </c>
      <c r="F29" s="21">
        <f>IF($L29="","",IF(N($L28)-$L29&lt;=0,"",N($L28)-$L29))</f>
        <v/>
      </c>
      <c r="G29" s="21">
        <f>IF($M29="","",IF(N($M28)-$M29&lt;=0,"",N($M28)-$M29))</f>
        <v/>
      </c>
      <c r="H29" s="21">
        <f>IF($N29="","",IF(N($N28)-$N29&lt;=0,"",N($N28)-$N29))</f>
        <v/>
      </c>
      <c r="I29" s="23" t="n"/>
      <c r="J29" s="23" t="n"/>
      <c r="K29" s="23" t="n"/>
      <c r="L29" s="23" t="n"/>
      <c r="M29" s="23" t="n"/>
      <c r="N29" s="23" t="n"/>
    </row>
    <row r="30">
      <c r="A30" s="20" t="n"/>
      <c r="B30" s="20" t="n"/>
      <c r="C30" s="21">
        <f>IF($I30="","",IF(N($I29)-$I30&lt;=0,"",N($I29)-$I30))</f>
        <v/>
      </c>
      <c r="D30" s="21">
        <f>IF($J30="","",IF(N($J29)-$J30&lt;=0,"",N($J29)-$J30))</f>
        <v/>
      </c>
      <c r="E30" s="21">
        <f>IF($K30="","",IF(N($K29)-$K30&lt;=0,"",N($K29)-$K30))</f>
        <v/>
      </c>
      <c r="F30" s="21">
        <f>IF($L30="","",IF(N($L29)-$L30&lt;=0,"",N($L29)-$L30))</f>
        <v/>
      </c>
      <c r="G30" s="21">
        <f>IF($M30="","",IF(N($M29)-$M30&lt;=0,"",N($M29)-$M30))</f>
        <v/>
      </c>
      <c r="H30" s="21">
        <f>IF($N30="","",IF(N($N29)-$N30&lt;=0,"",N($N29)-$N30))</f>
        <v/>
      </c>
      <c r="I30" s="23" t="n"/>
      <c r="J30" s="23" t="n"/>
      <c r="K30" s="23" t="n"/>
      <c r="L30" s="23" t="n"/>
      <c r="M30" s="23" t="n"/>
      <c r="N30" s="23" t="n"/>
    </row>
    <row r="31">
      <c r="A31" s="20" t="n"/>
      <c r="B31" s="20" t="n"/>
      <c r="C31" s="21">
        <f>IF($I31="","",IF(N($I30)-$I31&lt;=0,"",N($I30)-$I31))</f>
        <v/>
      </c>
      <c r="D31" s="21">
        <f>IF($J31="","",IF(N($J30)-$J31&lt;=0,"",N($J30)-$J31))</f>
        <v/>
      </c>
      <c r="E31" s="21">
        <f>IF($K31="","",IF(N($K30)-$K31&lt;=0,"",N($K30)-$K31))</f>
        <v/>
      </c>
      <c r="F31" s="21">
        <f>IF($L31="","",IF(N($L30)-$L31&lt;=0,"",N($L30)-$L31))</f>
        <v/>
      </c>
      <c r="G31" s="21">
        <f>IF($M31="","",IF(N($M30)-$M31&lt;=0,"",N($M30)-$M31))</f>
        <v/>
      </c>
      <c r="H31" s="21">
        <f>IF($N31="","",IF(N($N30)-$N31&lt;=0,"",N($N30)-$N31))</f>
        <v/>
      </c>
      <c r="I31" s="23" t="n"/>
      <c r="J31" s="23" t="n"/>
      <c r="K31" s="23" t="n"/>
      <c r="L31" s="23" t="n"/>
      <c r="M31" s="23" t="n"/>
      <c r="N31" s="23" t="n"/>
    </row>
    <row r="32">
      <c r="A32" s="20" t="n"/>
      <c r="B32" s="20" t="n"/>
      <c r="C32" s="21">
        <f>IF($I32="","",IF(N($I31)-$I32&lt;=0,"",N($I31)-$I32))</f>
        <v/>
      </c>
      <c r="D32" s="21">
        <f>IF($J32="","",IF(N($J31)-$J32&lt;=0,"",N($J31)-$J32))</f>
        <v/>
      </c>
      <c r="E32" s="21">
        <f>IF($K32="","",IF(N($K31)-$K32&lt;=0,"",N($K31)-$K32))</f>
        <v/>
      </c>
      <c r="F32" s="21">
        <f>IF($L32="","",IF(N($L31)-$L32&lt;=0,"",N($L31)-$L32))</f>
        <v/>
      </c>
      <c r="G32" s="21">
        <f>IF($M32="","",IF(N($M31)-$M32&lt;=0,"",N($M31)-$M32))</f>
        <v/>
      </c>
      <c r="H32" s="21">
        <f>IF($N32="","",IF(N($N31)-$N32&lt;=0,"",N($N31)-$N32))</f>
        <v/>
      </c>
      <c r="I32" s="23" t="n"/>
      <c r="J32" s="23" t="n"/>
      <c r="K32" s="23" t="n"/>
      <c r="L32" s="23" t="n"/>
      <c r="M32" s="23" t="n"/>
      <c r="N32" s="23" t="n"/>
    </row>
    <row r="33">
      <c r="A33" s="20" t="n"/>
      <c r="B33" s="20" t="n"/>
      <c r="C33" s="21">
        <f>IF($I33="","",IF(N($I32)-$I33&lt;=0,"",N($I32)-$I33))</f>
        <v/>
      </c>
      <c r="D33" s="21">
        <f>IF($J33="","",IF(N($J32)-$J33&lt;=0,"",N($J32)-$J33))</f>
        <v/>
      </c>
      <c r="E33" s="21">
        <f>IF($K33="","",IF(N($K32)-$K33&lt;=0,"",N($K32)-$K33))</f>
        <v/>
      </c>
      <c r="F33" s="21">
        <f>IF($L33="","",IF(N($L32)-$L33&lt;=0,"",N($L32)-$L33))</f>
        <v/>
      </c>
      <c r="G33" s="21">
        <f>IF($M33="","",IF(N($M32)-$M33&lt;=0,"",N($M32)-$M33))</f>
        <v/>
      </c>
      <c r="H33" s="21">
        <f>IF($N33="","",IF(N($N32)-$N33&lt;=0,"",N($N32)-$N33))</f>
        <v/>
      </c>
      <c r="I33" s="23" t="n"/>
      <c r="J33" s="23" t="n"/>
      <c r="K33" s="23" t="n"/>
      <c r="L33" s="23" t="n"/>
      <c r="M33" s="23" t="n"/>
      <c r="N33" s="23" t="n"/>
    </row>
    <row r="34">
      <c r="A34" s="20" t="n"/>
      <c r="B34" s="20" t="n"/>
      <c r="C34" s="21">
        <f>IF($I34="","",IF(N($I33)-$I34&lt;=0,"",N($I33)-$I34))</f>
        <v/>
      </c>
      <c r="D34" s="21">
        <f>IF($J34="","",IF(N($J33)-$J34&lt;=0,"",N($J33)-$J34))</f>
        <v/>
      </c>
      <c r="E34" s="21">
        <f>IF($K34="","",IF(N($K33)-$K34&lt;=0,"",N($K33)-$K34))</f>
        <v/>
      </c>
      <c r="F34" s="21">
        <f>IF($L34="","",IF(N($L33)-$L34&lt;=0,"",N($L33)-$L34))</f>
        <v/>
      </c>
      <c r="G34" s="21">
        <f>IF($M34="","",IF(N($M33)-$M34&lt;=0,"",N($M33)-$M34))</f>
        <v/>
      </c>
      <c r="H34" s="21">
        <f>IF($N34="","",IF(N($N33)-$N34&lt;=0,"",N($N33)-$N34))</f>
        <v/>
      </c>
      <c r="I34" s="23" t="n"/>
      <c r="J34" s="23" t="n"/>
      <c r="K34" s="23" t="n"/>
      <c r="L34" s="23" t="n"/>
      <c r="M34" s="23" t="n"/>
      <c r="N34" s="23" t="n"/>
    </row>
    <row r="35">
      <c r="A35" s="20" t="n"/>
      <c r="B35" s="20" t="n"/>
      <c r="C35" s="21">
        <f>IF($I35="","",IF(N($I34)-$I35&lt;=0,"",N($I34)-$I35))</f>
        <v/>
      </c>
      <c r="D35" s="21">
        <f>IF($J35="","",IF(N($J34)-$J35&lt;=0,"",N($J34)-$J35))</f>
        <v/>
      </c>
      <c r="E35" s="21">
        <f>IF($K35="","",IF(N($K34)-$K35&lt;=0,"",N($K34)-$K35))</f>
        <v/>
      </c>
      <c r="F35" s="21">
        <f>IF($L35="","",IF(N($L34)-$L35&lt;=0,"",N($L34)-$L35))</f>
        <v/>
      </c>
      <c r="G35" s="21">
        <f>IF($M35="","",IF(N($M34)-$M35&lt;=0,"",N($M34)-$M35))</f>
        <v/>
      </c>
      <c r="H35" s="21">
        <f>IF($N35="","",IF(N($N34)-$N35&lt;=0,"",N($N34)-$N35))</f>
        <v/>
      </c>
      <c r="I35" s="23" t="n"/>
      <c r="J35" s="23" t="n"/>
      <c r="K35" s="23" t="n"/>
      <c r="L35" s="23" t="n"/>
      <c r="M35" s="23" t="n"/>
      <c r="N35" s="23" t="n"/>
    </row>
    <row r="36">
      <c r="A36" s="20" t="n"/>
      <c r="B36" s="20" t="n"/>
      <c r="C36" s="21">
        <f>IF($I36="","",IF(N($I35)-$I36&lt;=0,"",N($I35)-$I36))</f>
        <v/>
      </c>
      <c r="D36" s="21">
        <f>IF($J36="","",IF(N($J35)-$J36&lt;=0,"",N($J35)-$J36))</f>
        <v/>
      </c>
      <c r="E36" s="21">
        <f>IF($K36="","",IF(N($K35)-$K36&lt;=0,"",N($K35)-$K36))</f>
        <v/>
      </c>
      <c r="F36" s="21">
        <f>IF($L36="","",IF(N($L35)-$L36&lt;=0,"",N($L35)-$L36))</f>
        <v/>
      </c>
      <c r="G36" s="21">
        <f>IF($M36="","",IF(N($M35)-$M36&lt;=0,"",N($M35)-$M36))</f>
        <v/>
      </c>
      <c r="H36" s="21">
        <f>IF($N36="","",IF(N($N35)-$N36&lt;=0,"",N($N35)-$N36))</f>
        <v/>
      </c>
      <c r="I36" s="23" t="n"/>
      <c r="J36" s="23" t="n"/>
      <c r="K36" s="23" t="n"/>
      <c r="L36" s="23" t="n"/>
      <c r="M36" s="23" t="n"/>
      <c r="N36" s="23" t="n"/>
    </row>
    <row r="37">
      <c r="A37" s="20" t="n"/>
      <c r="B37" s="20" t="n"/>
      <c r="C37" s="21">
        <f>IF($I37="","",IF(N($I36)-$I37&lt;=0,"",N($I36)-$I37))</f>
        <v/>
      </c>
      <c r="D37" s="21">
        <f>IF($J37="","",IF(N($J36)-$J37&lt;=0,"",N($J36)-$J37))</f>
        <v/>
      </c>
      <c r="E37" s="21">
        <f>IF($K37="","",IF(N($K36)-$K37&lt;=0,"",N($K36)-$K37))</f>
        <v/>
      </c>
      <c r="F37" s="21">
        <f>IF($L37="","",IF(N($L36)-$L37&lt;=0,"",N($L36)-$L37))</f>
        <v/>
      </c>
      <c r="G37" s="21">
        <f>IF($M37="","",IF(N($M36)-$M37&lt;=0,"",N($M36)-$M37))</f>
        <v/>
      </c>
      <c r="H37" s="21">
        <f>IF($N37="","",IF(N($N36)-$N37&lt;=0,"",N($N36)-$N37))</f>
        <v/>
      </c>
      <c r="I37" s="23" t="n"/>
      <c r="J37" s="23" t="n"/>
      <c r="K37" s="23" t="n"/>
      <c r="L37" s="23" t="n"/>
      <c r="M37" s="23" t="n"/>
      <c r="N37" s="23" t="n"/>
    </row>
    <row r="38">
      <c r="A38" s="20" t="n"/>
      <c r="B38" s="20" t="n"/>
      <c r="C38" s="21">
        <f>IF($I38="","",IF(N($I37)-$I38&lt;=0,"",N($I37)-$I38))</f>
        <v/>
      </c>
      <c r="D38" s="21">
        <f>IF($J38="","",IF(N($J37)-$J38&lt;=0,"",N($J37)-$J38))</f>
        <v/>
      </c>
      <c r="E38" s="21">
        <f>IF($K38="","",IF(N($K37)-$K38&lt;=0,"",N($K37)-$K38))</f>
        <v/>
      </c>
      <c r="F38" s="21">
        <f>IF($L38="","",IF(N($L37)-$L38&lt;=0,"",N($L37)-$L38))</f>
        <v/>
      </c>
      <c r="G38" s="21">
        <f>IF($M38="","",IF(N($M37)-$M38&lt;=0,"",N($M37)-$M38))</f>
        <v/>
      </c>
      <c r="H38" s="21">
        <f>IF($N38="","",IF(N($N37)-$N38&lt;=0,"",N($N37)-$N38))</f>
        <v/>
      </c>
      <c r="I38" s="23" t="n"/>
      <c r="J38" s="23" t="n"/>
      <c r="K38" s="23" t="n"/>
      <c r="L38" s="23" t="n"/>
      <c r="M38" s="23" t="n"/>
      <c r="N38" s="23" t="n"/>
    </row>
    <row r="39">
      <c r="A39" s="20" t="n"/>
      <c r="B39" s="20" t="n"/>
      <c r="C39" s="21">
        <f>IF($I39="","",IF(N($I38)-$I39&lt;=0,"",N($I38)-$I39))</f>
        <v/>
      </c>
      <c r="D39" s="21">
        <f>IF($J39="","",IF(N($J38)-$J39&lt;=0,"",N($J38)-$J39))</f>
        <v/>
      </c>
      <c r="E39" s="21">
        <f>IF($K39="","",IF(N($K38)-$K39&lt;=0,"",N($K38)-$K39))</f>
        <v/>
      </c>
      <c r="F39" s="21">
        <f>IF($L39="","",IF(N($L38)-$L39&lt;=0,"",N($L38)-$L39))</f>
        <v/>
      </c>
      <c r="G39" s="21">
        <f>IF($M39="","",IF(N($M38)-$M39&lt;=0,"",N($M38)-$M39))</f>
        <v/>
      </c>
      <c r="H39" s="21">
        <f>IF($N39="","",IF(N($N38)-$N39&lt;=0,"",N($N38)-$N39))</f>
        <v/>
      </c>
      <c r="I39" s="23" t="n"/>
      <c r="J39" s="23" t="n"/>
      <c r="K39" s="23" t="n"/>
      <c r="L39" s="23" t="n"/>
      <c r="M39" s="23" t="n"/>
      <c r="N39" s="23" t="n"/>
    </row>
    <row r="40">
      <c r="A40" s="20" t="n"/>
      <c r="B40" s="20" t="n"/>
      <c r="C40" s="21">
        <f>IF($I40="","",IF(N($I39)-$I40&lt;=0,"",N($I39)-$I40))</f>
        <v/>
      </c>
      <c r="D40" s="21">
        <f>IF($J40="","",IF(N($J39)-$J40&lt;=0,"",N($J39)-$J40))</f>
        <v/>
      </c>
      <c r="E40" s="21">
        <f>IF($K40="","",IF(N($K39)-$K40&lt;=0,"",N($K39)-$K40))</f>
        <v/>
      </c>
      <c r="F40" s="21">
        <f>IF($L40="","",IF(N($L39)-$L40&lt;=0,"",N($L39)-$L40))</f>
        <v/>
      </c>
      <c r="G40" s="21">
        <f>IF($M40="","",IF(N($M39)-$M40&lt;=0,"",N($M39)-$M40))</f>
        <v/>
      </c>
      <c r="H40" s="21">
        <f>IF($N40="","",IF(N($N39)-$N40&lt;=0,"",N($N39)-$N40))</f>
        <v/>
      </c>
      <c r="I40" s="23" t="n"/>
      <c r="J40" s="23" t="n"/>
      <c r="K40" s="23" t="n"/>
      <c r="L40" s="23" t="n"/>
      <c r="M40" s="23" t="n"/>
      <c r="N40" s="23" t="n"/>
    </row>
    <row r="41">
      <c r="A41" s="20" t="n"/>
      <c r="B41" s="20" t="n"/>
      <c r="C41" s="21">
        <f>IF($I41="","",IF(N($I40)-$I41&lt;=0,"",N($I40)-$I41))</f>
        <v/>
      </c>
      <c r="D41" s="21">
        <f>IF($J41="","",IF(N($J40)-$J41&lt;=0,"",N($J40)-$J41))</f>
        <v/>
      </c>
      <c r="E41" s="21">
        <f>IF($K41="","",IF(N($K40)-$K41&lt;=0,"",N($K40)-$K41))</f>
        <v/>
      </c>
      <c r="F41" s="21">
        <f>IF($L41="","",IF(N($L40)-$L41&lt;=0,"",N($L40)-$L41))</f>
        <v/>
      </c>
      <c r="G41" s="21">
        <f>IF($M41="","",IF(N($M40)-$M41&lt;=0,"",N($M40)-$M41))</f>
        <v/>
      </c>
      <c r="H41" s="21">
        <f>IF($N41="","",IF(N($N40)-$N41&lt;=0,"",N($N40)-$N41))</f>
        <v/>
      </c>
      <c r="I41" s="23" t="n"/>
      <c r="J41" s="23" t="n"/>
      <c r="K41" s="23" t="n"/>
      <c r="L41" s="23" t="n"/>
      <c r="M41" s="23" t="n"/>
      <c r="N41" s="23" t="n"/>
    </row>
    <row r="42">
      <c r="A42" s="20" t="n"/>
      <c r="B42" s="20" t="n"/>
      <c r="C42" s="21">
        <f>IF($I42="","",IF(N($I41)-$I42&lt;=0,"",N($I41)-$I42))</f>
        <v/>
      </c>
      <c r="D42" s="21">
        <f>IF($J42="","",IF(N($J41)-$J42&lt;=0,"",N($J41)-$J42))</f>
        <v/>
      </c>
      <c r="E42" s="21">
        <f>IF($K42="","",IF(N($K41)-$K42&lt;=0,"",N($K41)-$K42))</f>
        <v/>
      </c>
      <c r="F42" s="21">
        <f>IF($L42="","",IF(N($L41)-$L42&lt;=0,"",N($L41)-$L42))</f>
        <v/>
      </c>
      <c r="G42" s="21">
        <f>IF($M42="","",IF(N($M41)-$M42&lt;=0,"",N($M41)-$M42))</f>
        <v/>
      </c>
      <c r="H42" s="21">
        <f>IF($N42="","",IF(N($N41)-$N42&lt;=0,"",N($N41)-$N42))</f>
        <v/>
      </c>
      <c r="I42" s="23" t="n"/>
      <c r="J42" s="23" t="n"/>
      <c r="K42" s="23" t="n"/>
      <c r="L42" s="23" t="n"/>
      <c r="M42" s="23" t="n"/>
      <c r="N42" s="23" t="n"/>
    </row>
  </sheetData>
  <mergeCells count="2">
    <mergeCell ref="A3:N3"/>
    <mergeCell ref="A2:N2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N44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26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2">
      <c r="A2" s="15" t="inlineStr">
        <is>
          <t>HISTORIAL DE INVENTARIO — LOTE 9 MZA 7</t>
        </is>
      </c>
    </row>
    <row r="3">
      <c r="A3" s="16" t="inlineStr">
        <is>
          <t>Salió = sale solo (saldo anterior − saldo del día) · Para registrar un día nuevo: escribe en el primer renglón en blanco (la tabla se extiende sola).</t>
        </is>
      </c>
    </row>
    <row r="5">
      <c r="A5" s="17" t="inlineStr">
        <is>
          <t>Fecha</t>
        </is>
      </c>
      <c r="B5" s="17" t="inlineStr">
        <is>
          <t>Pisero</t>
        </is>
      </c>
      <c r="C5" s="18" t="inlineStr">
        <is>
          <t>Salió Moret</t>
        </is>
      </c>
      <c r="D5" s="18" t="inlineStr">
        <is>
          <t>Salió Urbania</t>
        </is>
      </c>
      <c r="E5" s="18" t="inlineStr">
        <is>
          <t>Salió Malla</t>
        </is>
      </c>
      <c r="F5" s="18" t="inlineStr">
        <is>
          <t>Salió Duela</t>
        </is>
      </c>
      <c r="G5" s="18" t="inlineStr">
        <is>
          <t>Salió Pegavitro</t>
        </is>
      </c>
      <c r="H5" s="18" t="inlineStr">
        <is>
          <t>Salió Porcelánico</t>
        </is>
      </c>
      <c r="I5" s="17" t="inlineStr">
        <is>
          <t>Piso Moret</t>
        </is>
      </c>
      <c r="J5" s="17" t="inlineStr">
        <is>
          <t>Urbania White</t>
        </is>
      </c>
      <c r="K5" s="17" t="inlineStr">
        <is>
          <t>Malla Lyndhurst</t>
        </is>
      </c>
      <c r="L5" s="17" t="inlineStr">
        <is>
          <t>Royal Walnut</t>
        </is>
      </c>
      <c r="M5" s="17" t="inlineStr">
        <is>
          <t>Pegavitro</t>
        </is>
      </c>
      <c r="N5" s="17" t="inlineStr">
        <is>
          <t>Fija Porcelánico</t>
        </is>
      </c>
    </row>
    <row r="6">
      <c r="A6" s="19" t="inlineStr">
        <is>
          <t>▶ Inicial</t>
        </is>
      </c>
      <c r="B6" s="20" t="inlineStr"/>
      <c r="C6" s="21" t="n"/>
      <c r="D6" s="21" t="n"/>
      <c r="E6" s="21" t="n"/>
      <c r="F6" s="21" t="n"/>
      <c r="G6" s="21" t="n"/>
      <c r="H6" s="21" t="n"/>
      <c r="I6" s="22" t="n">
        <v>98</v>
      </c>
      <c r="J6" s="22" t="n">
        <v>8</v>
      </c>
      <c r="K6" s="22" t="n">
        <v>17</v>
      </c>
      <c r="L6" s="22" t="n">
        <v>37</v>
      </c>
      <c r="M6" s="22" t="n">
        <v>79</v>
      </c>
      <c r="N6" s="22" t="n">
        <v>39</v>
      </c>
    </row>
    <row r="7">
      <c r="A7" s="19" t="inlineStr">
        <is>
          <t>20 may</t>
        </is>
      </c>
      <c r="B7" s="20" t="inlineStr">
        <is>
          <t>Miguel Cortez</t>
        </is>
      </c>
      <c r="C7" s="21">
        <f>IF($I7="","",IF(N($I6)-$I7&lt;=0,"",N($I6)-$I7))</f>
        <v/>
      </c>
      <c r="D7" s="21">
        <f>IF($J7="","",IF(N($J6)-$J7&lt;=0,"",N($J6)-$J7))</f>
        <v/>
      </c>
      <c r="E7" s="21">
        <f>IF($K7="","",IF(N($K6)-$K7&lt;=0,"",N($K6)-$K7))</f>
        <v/>
      </c>
      <c r="F7" s="21">
        <f>IF($L7="","",IF(N($L6)-$L7&lt;=0,"",N($L6)-$L7))</f>
        <v/>
      </c>
      <c r="G7" s="21">
        <f>IF($M7="","",IF(N($M6)-$M7&lt;=0,"",N($M6)-$M7))</f>
        <v/>
      </c>
      <c r="H7" s="21">
        <f>IF($N7="","",IF(N($N6)-$N7&lt;=0,"",N($N6)-$N7))</f>
        <v/>
      </c>
      <c r="I7" s="23" t="n">
        <v>96</v>
      </c>
      <c r="J7" s="23" t="n">
        <v>8</v>
      </c>
      <c r="K7" s="23" t="n">
        <v>17</v>
      </c>
      <c r="L7" s="23" t="n">
        <v>32</v>
      </c>
      <c r="M7" s="23" t="n">
        <v>74</v>
      </c>
      <c r="N7" s="23" t="n">
        <v>36</v>
      </c>
    </row>
    <row r="8">
      <c r="A8" s="19" t="inlineStr">
        <is>
          <t>21 may</t>
        </is>
      </c>
      <c r="B8" s="20" t="inlineStr">
        <is>
          <t>Miguel Cortez</t>
        </is>
      </c>
      <c r="C8" s="21">
        <f>IF($I8="","",IF(N($I7)-$I8&lt;=0,"",N($I7)-$I8))</f>
        <v/>
      </c>
      <c r="D8" s="21">
        <f>IF($J8="","",IF(N($J7)-$J8&lt;=0,"",N($J7)-$J8))</f>
        <v/>
      </c>
      <c r="E8" s="21">
        <f>IF($K8="","",IF(N($K7)-$K8&lt;=0,"",N($K7)-$K8))</f>
        <v/>
      </c>
      <c r="F8" s="21">
        <f>IF($L8="","",IF(N($L7)-$L8&lt;=0,"",N($L7)-$L8))</f>
        <v/>
      </c>
      <c r="G8" s="21">
        <f>IF($M8="","",IF(N($M7)-$M8&lt;=0,"",N($M7)-$M8))</f>
        <v/>
      </c>
      <c r="H8" s="21">
        <f>IF($N8="","",IF(N($N7)-$N8&lt;=0,"",N($N7)-$N8))</f>
        <v/>
      </c>
      <c r="I8" s="23" t="n">
        <v>94</v>
      </c>
      <c r="J8" s="23" t="n">
        <v>8</v>
      </c>
      <c r="K8" s="23" t="n">
        <v>17</v>
      </c>
      <c r="L8" s="23" t="n">
        <v>27</v>
      </c>
      <c r="M8" s="23" t="n">
        <v>69</v>
      </c>
      <c r="N8" s="23" t="n">
        <v>33</v>
      </c>
    </row>
    <row r="9">
      <c r="A9" s="19" t="inlineStr">
        <is>
          <t>22 may</t>
        </is>
      </c>
      <c r="B9" s="20" t="inlineStr">
        <is>
          <t>Miguel Cortez</t>
        </is>
      </c>
      <c r="C9" s="21">
        <f>IF($I9="","",IF(N($I8)-$I9&lt;=0,"",N($I8)-$I9))</f>
        <v/>
      </c>
      <c r="D9" s="21">
        <f>IF($J9="","",IF(N($J8)-$J9&lt;=0,"",N($J8)-$J9))</f>
        <v/>
      </c>
      <c r="E9" s="21">
        <f>IF($K9="","",IF(N($K8)-$K9&lt;=0,"",N($K8)-$K9))</f>
        <v/>
      </c>
      <c r="F9" s="21">
        <f>IF($L9="","",IF(N($L8)-$L9&lt;=0,"",N($L8)-$L9))</f>
        <v/>
      </c>
      <c r="G9" s="21">
        <f>IF($M9="","",IF(N($M8)-$M9&lt;=0,"",N($M8)-$M9))</f>
        <v/>
      </c>
      <c r="H9" s="21">
        <f>IF($N9="","",IF(N($N8)-$N9&lt;=0,"",N($N8)-$N9))</f>
        <v/>
      </c>
      <c r="I9" s="23" t="n">
        <v>93</v>
      </c>
      <c r="J9" s="23" t="n">
        <v>8</v>
      </c>
      <c r="K9" s="23" t="n">
        <v>17</v>
      </c>
      <c r="L9" s="23" t="n">
        <v>23</v>
      </c>
      <c r="M9" s="23" t="n">
        <v>64</v>
      </c>
      <c r="N9" s="23" t="n">
        <v>31</v>
      </c>
    </row>
    <row r="10">
      <c r="A10" s="19" t="inlineStr">
        <is>
          <t>23 may (sáb)</t>
        </is>
      </c>
      <c r="B10" s="20" t="inlineStr">
        <is>
          <t>Miguel Cortez</t>
        </is>
      </c>
      <c r="C10" s="21">
        <f>IF($I10="","",IF(N($I9)-$I10&lt;=0,"",N($I9)-$I10))</f>
        <v/>
      </c>
      <c r="D10" s="21">
        <f>IF($J10="","",IF(N($J9)-$J10&lt;=0,"",N($J9)-$J10))</f>
        <v/>
      </c>
      <c r="E10" s="21">
        <f>IF($K10="","",IF(N($K9)-$K10&lt;=0,"",N($K9)-$K10))</f>
        <v/>
      </c>
      <c r="F10" s="21">
        <f>IF($L10="","",IF(N($L9)-$L10&lt;=0,"",N($L9)-$L10))</f>
        <v/>
      </c>
      <c r="G10" s="21">
        <f>IF($M10="","",IF(N($M9)-$M10&lt;=0,"",N($M9)-$M10))</f>
        <v/>
      </c>
      <c r="H10" s="21">
        <f>IF($N10="","",IF(N($N9)-$N10&lt;=0,"",N($N9)-$N10))</f>
        <v/>
      </c>
      <c r="I10" s="23" t="n">
        <v>89</v>
      </c>
      <c r="J10" s="23" t="n">
        <v>8</v>
      </c>
      <c r="K10" s="23" t="n">
        <v>17</v>
      </c>
      <c r="L10" s="23" t="n">
        <v>16</v>
      </c>
      <c r="M10" s="23" t="n">
        <v>57</v>
      </c>
      <c r="N10" s="23" t="n">
        <v>27</v>
      </c>
    </row>
    <row r="11">
      <c r="A11" s="19" t="inlineStr">
        <is>
          <t>24 may (dom)</t>
        </is>
      </c>
      <c r="B11" s="20" t="inlineStr">
        <is>
          <t>Miguel Cortez</t>
        </is>
      </c>
      <c r="C11" s="21">
        <f>IF($I11="","",IF(N($I10)-$I11&lt;=0,"",N($I10)-$I11))</f>
        <v/>
      </c>
      <c r="D11" s="21">
        <f>IF($J11="","",IF(N($J10)-$J11&lt;=0,"",N($J10)-$J11))</f>
        <v/>
      </c>
      <c r="E11" s="21">
        <f>IF($K11="","",IF(N($K10)-$K11&lt;=0,"",N($K10)-$K11))</f>
        <v/>
      </c>
      <c r="F11" s="21">
        <f>IF($L11="","",IF(N($L10)-$L11&lt;=0,"",N($L10)-$L11))</f>
        <v/>
      </c>
      <c r="G11" s="21">
        <f>IF($M11="","",IF(N($M10)-$M11&lt;=0,"",N($M10)-$M11))</f>
        <v/>
      </c>
      <c r="H11" s="21">
        <f>IF($N11="","",IF(N($N10)-$N11&lt;=0,"",N($N10)-$N11))</f>
        <v/>
      </c>
      <c r="I11" s="23" t="n">
        <v>84</v>
      </c>
      <c r="J11" s="23" t="n">
        <v>8</v>
      </c>
      <c r="K11" s="23" t="n">
        <v>16</v>
      </c>
      <c r="L11" s="23" t="n">
        <v>7</v>
      </c>
      <c r="M11" s="23" t="n">
        <v>49</v>
      </c>
      <c r="N11" s="23" t="n">
        <v>22</v>
      </c>
    </row>
    <row r="12">
      <c r="A12" s="19" t="inlineStr">
        <is>
          <t>25 may</t>
        </is>
      </c>
      <c r="B12" s="20" t="inlineStr">
        <is>
          <t>Miguel Cortez</t>
        </is>
      </c>
      <c r="C12" s="21">
        <f>IF($I12="","",IF(N($I11)-$I12&lt;=0,"",N($I11)-$I12))</f>
        <v/>
      </c>
      <c r="D12" s="21">
        <f>IF($J12="","",IF(N($J11)-$J12&lt;=0,"",N($J11)-$J12))</f>
        <v/>
      </c>
      <c r="E12" s="21">
        <f>IF($K12="","",IF(N($K11)-$K12&lt;=0,"",N($K11)-$K12))</f>
        <v/>
      </c>
      <c r="F12" s="21">
        <f>IF($L12="","",IF(N($L11)-$L12&lt;=0,"",N($L11)-$L12))</f>
        <v/>
      </c>
      <c r="G12" s="21">
        <f>IF($M12="","",IF(N($M11)-$M12&lt;=0,"",N($M11)-$M12))</f>
        <v/>
      </c>
      <c r="H12" s="21">
        <f>IF($N12="","",IF(N($N11)-$N12&lt;=0,"",N($N11)-$N12))</f>
        <v/>
      </c>
      <c r="I12" s="23" t="n">
        <v>83</v>
      </c>
      <c r="J12" s="23" t="n">
        <v>7</v>
      </c>
      <c r="K12" s="23" t="n">
        <v>16</v>
      </c>
      <c r="L12" s="23" t="n">
        <v>2</v>
      </c>
      <c r="M12" s="23" t="n">
        <v>44</v>
      </c>
      <c r="N12" s="23" t="n">
        <v>20</v>
      </c>
    </row>
    <row r="13">
      <c r="A13" s="19" t="inlineStr">
        <is>
          <t>26 may</t>
        </is>
      </c>
      <c r="B13" s="20" t="inlineStr">
        <is>
          <t>Miguel Cortez</t>
        </is>
      </c>
      <c r="C13" s="21">
        <f>IF($I13="","",IF(N($I12)-$I13&lt;=0,"",N($I12)-$I13))</f>
        <v/>
      </c>
      <c r="D13" s="21">
        <f>IF($J13="","",IF(N($J12)-$J13&lt;=0,"",N($J12)-$J13))</f>
        <v/>
      </c>
      <c r="E13" s="21">
        <f>IF($K13="","",IF(N($K12)-$K13&lt;=0,"",N($K12)-$K13))</f>
        <v/>
      </c>
      <c r="F13" s="21">
        <f>IF($L13="","",IF(N($L12)-$L13&lt;=0,"",N($L12)-$L13))</f>
        <v/>
      </c>
      <c r="G13" s="21">
        <f>IF($M13="","",IF(N($M12)-$M13&lt;=0,"",N($M12)-$M13))</f>
        <v/>
      </c>
      <c r="H13" s="21">
        <f>IF($N13="","",IF(N($N12)-$N13&lt;=0,"",N($N12)-$N13))</f>
        <v/>
      </c>
      <c r="I13" s="23" t="n">
        <v>82</v>
      </c>
      <c r="J13" s="23" t="n">
        <v>7</v>
      </c>
      <c r="K13" s="23" t="n">
        <v>15</v>
      </c>
      <c r="L13" s="23" t="n">
        <v>0</v>
      </c>
      <c r="M13" s="23" t="n">
        <v>39</v>
      </c>
      <c r="N13" s="23" t="n">
        <v>19</v>
      </c>
    </row>
    <row r="14">
      <c r="A14" s="19" t="inlineStr">
        <is>
          <t>01 jun</t>
        </is>
      </c>
      <c r="B14" s="20" t="inlineStr">
        <is>
          <t>Jesús Salmerón</t>
        </is>
      </c>
      <c r="C14" s="21">
        <f>IF($I14="","",IF(N($I13)-$I14&lt;=0,"",N($I13)-$I14))</f>
        <v/>
      </c>
      <c r="D14" s="21">
        <f>IF($J14="","",IF(N($J13)-$J14&lt;=0,"",N($J13)-$J14))</f>
        <v/>
      </c>
      <c r="E14" s="21">
        <f>IF($K14="","",IF(N($K13)-$K14&lt;=0,"",N($K13)-$K14))</f>
        <v/>
      </c>
      <c r="F14" s="21">
        <f>IF($L14="","",IF(N($L13)-$L14&lt;=0,"",N($L13)-$L14))</f>
        <v/>
      </c>
      <c r="G14" s="21">
        <f>IF($M14="","",IF(N($M13)-$M14&lt;=0,"",N($M13)-$M14))</f>
        <v/>
      </c>
      <c r="H14" s="21">
        <f>IF($N14="","",IF(N($N13)-$N14&lt;=0,"",N($N13)-$N14))</f>
        <v/>
      </c>
      <c r="I14" s="23" t="n">
        <v>76</v>
      </c>
      <c r="J14" s="23" t="n">
        <v>7</v>
      </c>
      <c r="K14" s="23" t="n">
        <v>15</v>
      </c>
      <c r="L14" s="23" t="n">
        <v>0</v>
      </c>
      <c r="M14" s="23" t="n">
        <v>39</v>
      </c>
      <c r="N14" s="23" t="n">
        <v>18</v>
      </c>
    </row>
    <row r="15">
      <c r="A15" s="19" t="inlineStr">
        <is>
          <t>02 jun</t>
        </is>
      </c>
      <c r="B15" s="20" t="inlineStr">
        <is>
          <t>Jesús Salmerón</t>
        </is>
      </c>
      <c r="C15" s="21">
        <f>IF($I15="","",IF(N($I14)-$I15&lt;=0,"",N($I14)-$I15))</f>
        <v/>
      </c>
      <c r="D15" s="21">
        <f>IF($J15="","",IF(N($J14)-$J15&lt;=0,"",N($J14)-$J15))</f>
        <v/>
      </c>
      <c r="E15" s="21">
        <f>IF($K15="","",IF(N($K14)-$K15&lt;=0,"",N($K14)-$K15))</f>
        <v/>
      </c>
      <c r="F15" s="21">
        <f>IF($L15="","",IF(N($L14)-$L15&lt;=0,"",N($L14)-$L15))</f>
        <v/>
      </c>
      <c r="G15" s="21">
        <f>IF($M15="","",IF(N($M14)-$M15&lt;=0,"",N($M14)-$M15))</f>
        <v/>
      </c>
      <c r="H15" s="21">
        <f>IF($N15="","",IF(N($N14)-$N15&lt;=0,"",N($N14)-$N15))</f>
        <v/>
      </c>
      <c r="I15" s="23" t="n">
        <v>71</v>
      </c>
      <c r="J15" s="23" t="n">
        <v>7</v>
      </c>
      <c r="K15" s="23" t="n">
        <v>15</v>
      </c>
      <c r="L15" s="23" t="n">
        <v>0</v>
      </c>
      <c r="M15" s="23" t="n">
        <v>39</v>
      </c>
      <c r="N15" s="23" t="n">
        <v>16</v>
      </c>
    </row>
    <row r="16">
      <c r="A16" s="19" t="inlineStr">
        <is>
          <t>03 jun</t>
        </is>
      </c>
      <c r="B16" s="20" t="inlineStr">
        <is>
          <t>Jesús Salmerón</t>
        </is>
      </c>
      <c r="C16" s="21">
        <f>IF($I16="","",IF(N($I15)-$I16&lt;=0,"",N($I15)-$I16))</f>
        <v/>
      </c>
      <c r="D16" s="21">
        <f>IF($J16="","",IF(N($J15)-$J16&lt;=0,"",N($J15)-$J16))</f>
        <v/>
      </c>
      <c r="E16" s="21">
        <f>IF($K16="","",IF(N($K15)-$K16&lt;=0,"",N($K15)-$K16))</f>
        <v/>
      </c>
      <c r="F16" s="21">
        <f>IF($L16="","",IF(N($L15)-$L16&lt;=0,"",N($L15)-$L16))</f>
        <v/>
      </c>
      <c r="G16" s="21">
        <f>IF($M16="","",IF(N($M15)-$M16&lt;=0,"",N($M15)-$M16))</f>
        <v/>
      </c>
      <c r="H16" s="21">
        <f>IF($N16="","",IF(N($N15)-$N16&lt;=0,"",N($N15)-$N16))</f>
        <v/>
      </c>
      <c r="I16" s="23" t="n">
        <v>68</v>
      </c>
      <c r="J16" s="23" t="n">
        <v>7</v>
      </c>
      <c r="K16" s="23" t="n">
        <v>15</v>
      </c>
      <c r="L16" s="23" t="n">
        <v>0</v>
      </c>
      <c r="M16" s="23" t="n">
        <v>39</v>
      </c>
      <c r="N16" s="23" t="n">
        <v>15</v>
      </c>
    </row>
    <row r="17">
      <c r="A17" s="19" t="inlineStr">
        <is>
          <t>04 jun</t>
        </is>
      </c>
      <c r="B17" s="20" t="inlineStr">
        <is>
          <t>Jesús Salmerón</t>
        </is>
      </c>
      <c r="C17" s="21">
        <f>IF($I17="","",IF(N($I16)-$I17&lt;=0,"",N($I16)-$I17))</f>
        <v/>
      </c>
      <c r="D17" s="21">
        <f>IF($J17="","",IF(N($J16)-$J17&lt;=0,"",N($J16)-$J17))</f>
        <v/>
      </c>
      <c r="E17" s="21">
        <f>IF($K17="","",IF(N($K16)-$K17&lt;=0,"",N($K16)-$K17))</f>
        <v/>
      </c>
      <c r="F17" s="21">
        <f>IF($L17="","",IF(N($L16)-$L17&lt;=0,"",N($L16)-$L17))</f>
        <v/>
      </c>
      <c r="G17" s="21">
        <f>IF($M17="","",IF(N($M16)-$M17&lt;=0,"",N($M16)-$M17))</f>
        <v/>
      </c>
      <c r="H17" s="21">
        <f>IF($N17="","",IF(N($N16)-$N17&lt;=0,"",N($N16)-$N17))</f>
        <v/>
      </c>
      <c r="I17" s="23" t="n">
        <v>64</v>
      </c>
      <c r="J17" s="23" t="n">
        <v>7</v>
      </c>
      <c r="K17" s="23" t="n">
        <v>15</v>
      </c>
      <c r="L17" s="23" t="n">
        <v>0</v>
      </c>
      <c r="M17" s="23" t="n">
        <v>39</v>
      </c>
      <c r="N17" s="23" t="n">
        <v>14</v>
      </c>
    </row>
    <row r="18">
      <c r="A18" s="19" t="inlineStr">
        <is>
          <t>05 jun</t>
        </is>
      </c>
      <c r="B18" s="20" t="inlineStr">
        <is>
          <t>Jesús Salmerón</t>
        </is>
      </c>
      <c r="C18" s="21">
        <f>IF($I18="","",IF(N($I17)-$I18&lt;=0,"",N($I17)-$I18))</f>
        <v/>
      </c>
      <c r="D18" s="21">
        <f>IF($J18="","",IF(N($J17)-$J18&lt;=0,"",N($J17)-$J18))</f>
        <v/>
      </c>
      <c r="E18" s="21">
        <f>IF($K18="","",IF(N($K17)-$K18&lt;=0,"",N($K17)-$K18))</f>
        <v/>
      </c>
      <c r="F18" s="21">
        <f>IF($L18="","",IF(N($L17)-$L18&lt;=0,"",N($L17)-$L18))</f>
        <v/>
      </c>
      <c r="G18" s="21">
        <f>IF($M18="","",IF(N($M17)-$M18&lt;=0,"",N($M17)-$M18))</f>
        <v/>
      </c>
      <c r="H18" s="21">
        <f>IF($N18="","",IF(N($N17)-$N18&lt;=0,"",N($N17)-$N18))</f>
        <v/>
      </c>
      <c r="I18" s="23" t="n">
        <v>59</v>
      </c>
      <c r="J18" s="23" t="n">
        <v>7</v>
      </c>
      <c r="K18" s="23" t="n">
        <v>15</v>
      </c>
      <c r="L18" s="23" t="n">
        <v>0</v>
      </c>
      <c r="M18" s="23" t="n">
        <v>39</v>
      </c>
      <c r="N18" s="23" t="n">
        <v>12</v>
      </c>
    </row>
    <row r="19">
      <c r="A19" s="19" t="inlineStr">
        <is>
          <t>06 jun</t>
        </is>
      </c>
      <c r="B19" s="20" t="inlineStr">
        <is>
          <t>Jesús Salmerón</t>
        </is>
      </c>
      <c r="C19" s="21">
        <f>IF($I19="","",IF(N($I18)-$I19&lt;=0,"",N($I18)-$I19))</f>
        <v/>
      </c>
      <c r="D19" s="21">
        <f>IF($J19="","",IF(N($J18)-$J19&lt;=0,"",N($J18)-$J19))</f>
        <v/>
      </c>
      <c r="E19" s="21">
        <f>IF($K19="","",IF(N($K18)-$K19&lt;=0,"",N($K18)-$K19))</f>
        <v/>
      </c>
      <c r="F19" s="21">
        <f>IF($L19="","",IF(N($L18)-$L19&lt;=0,"",N($L18)-$L19))</f>
        <v/>
      </c>
      <c r="G19" s="21">
        <f>IF($M19="","",IF(N($M18)-$M19&lt;=0,"",N($M18)-$M19))</f>
        <v/>
      </c>
      <c r="H19" s="21">
        <f>IF($N19="","",IF(N($N18)-$N19&lt;=0,"",N($N18)-$N19))</f>
        <v/>
      </c>
      <c r="I19" s="23" t="n">
        <v>55</v>
      </c>
      <c r="J19" s="23" t="n">
        <v>7</v>
      </c>
      <c r="K19" s="23" t="n">
        <v>15</v>
      </c>
      <c r="L19" s="23" t="n">
        <v>0</v>
      </c>
      <c r="M19" s="23" t="n">
        <v>39</v>
      </c>
      <c r="N19" s="23" t="n">
        <v>11</v>
      </c>
    </row>
    <row r="20">
      <c r="A20" s="19" t="inlineStr">
        <is>
          <t>08 jun</t>
        </is>
      </c>
      <c r="B20" s="20" t="inlineStr">
        <is>
          <t>Jesús Salmerón</t>
        </is>
      </c>
      <c r="C20" s="21">
        <f>IF($I20="","",IF(N($I19)-$I20&lt;=0,"",N($I19)-$I20))</f>
        <v/>
      </c>
      <c r="D20" s="21">
        <f>IF($J20="","",IF(N($J19)-$J20&lt;=0,"",N($J19)-$J20))</f>
        <v/>
      </c>
      <c r="E20" s="21">
        <f>IF($K20="","",IF(N($K19)-$K20&lt;=0,"",N($K19)-$K20))</f>
        <v/>
      </c>
      <c r="F20" s="21">
        <f>IF($L20="","",IF(N($L19)-$L20&lt;=0,"",N($L19)-$L20))</f>
        <v/>
      </c>
      <c r="G20" s="21">
        <f>IF($M20="","",IF(N($M19)-$M20&lt;=0,"",N($M19)-$M20))</f>
        <v/>
      </c>
      <c r="H20" s="21">
        <f>IF($N20="","",IF(N($N19)-$N20&lt;=0,"",N($N19)-$N20))</f>
        <v/>
      </c>
      <c r="I20" s="23" t="n">
        <v>45</v>
      </c>
      <c r="J20" s="23" t="n">
        <v>7</v>
      </c>
      <c r="K20" s="23" t="n">
        <v>15</v>
      </c>
      <c r="L20" s="23" t="n">
        <v>0</v>
      </c>
      <c r="M20" s="23" t="n">
        <v>35</v>
      </c>
      <c r="N20" s="23" t="n">
        <v>10</v>
      </c>
    </row>
    <row r="21">
      <c r="A21" s="19" t="inlineStr">
        <is>
          <t>09 jun</t>
        </is>
      </c>
      <c r="B21" s="20" t="inlineStr">
        <is>
          <t>Jesús Salmerón</t>
        </is>
      </c>
      <c r="C21" s="21">
        <f>IF($I21="","",IF(N($I20)-$I21&lt;=0,"",N($I20)-$I21))</f>
        <v/>
      </c>
      <c r="D21" s="21">
        <f>IF($J21="","",IF(N($J20)-$J21&lt;=0,"",N($J20)-$J21))</f>
        <v/>
      </c>
      <c r="E21" s="21">
        <f>IF($K21="","",IF(N($K20)-$K21&lt;=0,"",N($K20)-$K21))</f>
        <v/>
      </c>
      <c r="F21" s="21">
        <f>IF($L21="","",IF(N($L20)-$L21&lt;=0,"",N($L20)-$L21))</f>
        <v/>
      </c>
      <c r="G21" s="21">
        <f>IF($M21="","",IF(N($M20)-$M21&lt;=0,"",N($M20)-$M21))</f>
        <v/>
      </c>
      <c r="H21" s="21">
        <f>IF($N21="","",IF(N($N20)-$N21&lt;=0,"",N($N20)-$N21))</f>
        <v/>
      </c>
      <c r="I21" s="23" t="n">
        <v>35</v>
      </c>
      <c r="J21" s="23" t="n">
        <v>6</v>
      </c>
      <c r="K21" s="23" t="n">
        <v>15</v>
      </c>
      <c r="L21" s="23" t="n">
        <v>0</v>
      </c>
      <c r="M21" s="23" t="n">
        <v>31</v>
      </c>
      <c r="N21" s="23" t="n">
        <v>9</v>
      </c>
    </row>
    <row r="22">
      <c r="A22" s="19" t="inlineStr">
        <is>
          <t>10 jun</t>
        </is>
      </c>
      <c r="B22" s="20" t="inlineStr">
        <is>
          <t>Jesús Salmerón</t>
        </is>
      </c>
      <c r="C22" s="21">
        <f>IF($I22="","",IF(N($I21)-$I22&lt;=0,"",N($I21)-$I22))</f>
        <v/>
      </c>
      <c r="D22" s="21">
        <f>IF($J22="","",IF(N($J21)-$J22&lt;=0,"",N($J21)-$J22))</f>
        <v/>
      </c>
      <c r="E22" s="21">
        <f>IF($K22="","",IF(N($K21)-$K22&lt;=0,"",N($K21)-$K22))</f>
        <v/>
      </c>
      <c r="F22" s="21">
        <f>IF($L22="","",IF(N($L21)-$L22&lt;=0,"",N($L21)-$L22))</f>
        <v/>
      </c>
      <c r="G22" s="21">
        <f>IF($M22="","",IF(N($M21)-$M22&lt;=0,"",N($M21)-$M22))</f>
        <v/>
      </c>
      <c r="H22" s="21">
        <f>IF($N22="","",IF(N($N21)-$N22&lt;=0,"",N($N21)-$N22))</f>
        <v/>
      </c>
      <c r="I22" s="23" t="n">
        <v>27</v>
      </c>
      <c r="J22" s="23" t="n">
        <v>6</v>
      </c>
      <c r="K22" s="23" t="n">
        <v>14</v>
      </c>
      <c r="L22" s="23" t="n">
        <v>0</v>
      </c>
      <c r="M22" s="23" t="n">
        <v>27</v>
      </c>
      <c r="N22" s="23" t="n">
        <v>8</v>
      </c>
    </row>
    <row r="23">
      <c r="A23" s="19" t="inlineStr">
        <is>
          <t>12 jun</t>
        </is>
      </c>
      <c r="B23" s="20" t="inlineStr">
        <is>
          <t>Jesús Salmerón</t>
        </is>
      </c>
      <c r="C23" s="21">
        <f>IF($I23="","",IF(N($I22)-$I23&lt;=0,"",N($I22)-$I23))</f>
        <v/>
      </c>
      <c r="D23" s="21">
        <f>IF($J23="","",IF(N($J22)-$J23&lt;=0,"",N($J22)-$J23))</f>
        <v/>
      </c>
      <c r="E23" s="21">
        <f>IF($K23="","",IF(N($K22)-$K23&lt;=0,"",N($K22)-$K23))</f>
        <v/>
      </c>
      <c r="F23" s="21">
        <f>IF($L23="","",IF(N($L22)-$L23&lt;=0,"",N($L22)-$L23))</f>
        <v/>
      </c>
      <c r="G23" s="21">
        <f>IF($M23="","",IF(N($M22)-$M23&lt;=0,"",N($M22)-$M23))</f>
        <v/>
      </c>
      <c r="H23" s="21">
        <f>IF($N23="","",IF(N($N22)-$N23&lt;=0,"",N($N22)-$N23))</f>
        <v/>
      </c>
      <c r="I23" s="23" t="n">
        <v>21</v>
      </c>
      <c r="J23" s="23" t="n">
        <v>5</v>
      </c>
      <c r="K23" s="23" t="n">
        <v>14</v>
      </c>
      <c r="L23" s="23" t="n">
        <v>0</v>
      </c>
      <c r="M23" s="23" t="n">
        <v>23</v>
      </c>
      <c r="N23" s="23" t="n">
        <v>7</v>
      </c>
    </row>
    <row r="24">
      <c r="A24" s="19" t="inlineStr">
        <is>
          <t>16 jun</t>
        </is>
      </c>
      <c r="B24" s="20" t="inlineStr">
        <is>
          <t>Jesús Salmerón</t>
        </is>
      </c>
      <c r="C24" s="21">
        <f>IF($I24="","",IF(N($I23)-$I24&lt;=0,"",N($I23)-$I24))</f>
        <v/>
      </c>
      <c r="D24" s="21">
        <f>IF($J24="","",IF(N($J23)-$J24&lt;=0,"",N($J23)-$J24))</f>
        <v/>
      </c>
      <c r="E24" s="21">
        <f>IF($K24="","",IF(N($K23)-$K24&lt;=0,"",N($K23)-$K24))</f>
        <v/>
      </c>
      <c r="F24" s="21">
        <f>IF($L24="","",IF(N($L23)-$L24&lt;=0,"",N($L23)-$L24))</f>
        <v/>
      </c>
      <c r="G24" s="21">
        <f>IF($M24="","",IF(N($M23)-$M24&lt;=0,"",N($M23)-$M24))</f>
        <v/>
      </c>
      <c r="H24" s="21">
        <f>IF($N24="","",IF(N($N23)-$N24&lt;=0,"",N($N23)-$N24))</f>
        <v/>
      </c>
      <c r="I24" s="23" t="n">
        <v>18</v>
      </c>
      <c r="J24" s="23" t="n">
        <v>4</v>
      </c>
      <c r="K24" s="23" t="n">
        <v>14</v>
      </c>
      <c r="L24" s="23" t="n">
        <v>0</v>
      </c>
      <c r="M24" s="23" t="n">
        <v>20</v>
      </c>
      <c r="N24" s="23" t="n">
        <v>6</v>
      </c>
    </row>
    <row r="25">
      <c r="A25" s="19" t="inlineStr">
        <is>
          <t>17 jun</t>
        </is>
      </c>
      <c r="B25" s="20" t="inlineStr">
        <is>
          <t>Jesús Salmerón</t>
        </is>
      </c>
      <c r="C25" s="21">
        <f>IF($I25="","",IF(N($I24)-$I25&lt;=0,"",N($I24)-$I25))</f>
        <v/>
      </c>
      <c r="D25" s="21">
        <f>IF($J25="","",IF(N($J24)-$J25&lt;=0,"",N($J24)-$J25))</f>
        <v/>
      </c>
      <c r="E25" s="21">
        <f>IF($K25="","",IF(N($K24)-$K25&lt;=0,"",N($K24)-$K25))</f>
        <v/>
      </c>
      <c r="F25" s="21">
        <f>IF($L25="","",IF(N($L24)-$L25&lt;=0,"",N($L24)-$L25))</f>
        <v/>
      </c>
      <c r="G25" s="21">
        <f>IF($M25="","",IF(N($M24)-$M25&lt;=0,"",N($M24)-$M25))</f>
        <v/>
      </c>
      <c r="H25" s="21">
        <f>IF($N25="","",IF(N($N24)-$N25&lt;=0,"",N($N24)-$N25))</f>
        <v/>
      </c>
      <c r="I25" s="23" t="n">
        <v>15</v>
      </c>
      <c r="J25" s="23" t="n">
        <v>3</v>
      </c>
      <c r="K25" s="23" t="n">
        <v>14</v>
      </c>
      <c r="L25" s="23" t="n">
        <v>0</v>
      </c>
      <c r="M25" s="23" t="n">
        <v>16</v>
      </c>
      <c r="N25" s="23" t="n">
        <v>4</v>
      </c>
    </row>
    <row r="26">
      <c r="A26" s="19" t="inlineStr">
        <is>
          <t>18 jun</t>
        </is>
      </c>
      <c r="B26" s="20" t="inlineStr">
        <is>
          <t>Jesús Salmerón</t>
        </is>
      </c>
      <c r="C26" s="21">
        <f>IF($I26="","",IF(N($I25)-$I26&lt;=0,"",N($I25)-$I26))</f>
        <v/>
      </c>
      <c r="D26" s="21">
        <f>IF($J26="","",IF(N($J25)-$J26&lt;=0,"",N($J25)-$J26))</f>
        <v/>
      </c>
      <c r="E26" s="21">
        <f>IF($K26="","",IF(N($K25)-$K26&lt;=0,"",N($K25)-$K26))</f>
        <v/>
      </c>
      <c r="F26" s="21">
        <f>IF($L26="","",IF(N($L25)-$L26&lt;=0,"",N($L25)-$L26))</f>
        <v/>
      </c>
      <c r="G26" s="21">
        <f>IF($M26="","",IF(N($M25)-$M26&lt;=0,"",N($M25)-$M26))</f>
        <v/>
      </c>
      <c r="H26" s="21">
        <f>IF($N26="","",IF(N($N25)-$N26&lt;=0,"",N($N25)-$N26))</f>
        <v/>
      </c>
      <c r="I26" s="23" t="n">
        <v>12</v>
      </c>
      <c r="J26" s="23" t="n">
        <v>2</v>
      </c>
      <c r="K26" s="23" t="n">
        <v>13</v>
      </c>
      <c r="L26" s="23" t="n">
        <v>0</v>
      </c>
      <c r="M26" s="23" t="n">
        <v>12</v>
      </c>
      <c r="N26" s="23" t="n">
        <v>3</v>
      </c>
    </row>
    <row r="27">
      <c r="A27" s="19" t="inlineStr">
        <is>
          <t>23 jun</t>
        </is>
      </c>
      <c r="B27" s="20" t="inlineStr">
        <is>
          <t>Jesús Salmerón</t>
        </is>
      </c>
      <c r="C27" s="21">
        <f>IF($I27="","",IF(N($I26)-$I27&lt;=0,"",N($I26)-$I27))</f>
        <v/>
      </c>
      <c r="D27" s="21">
        <f>IF($J27="","",IF(N($J26)-$J27&lt;=0,"",N($J26)-$J27))</f>
        <v/>
      </c>
      <c r="E27" s="21">
        <f>IF($K27="","",IF(N($K26)-$K27&lt;=0,"",N($K26)-$K27))</f>
        <v/>
      </c>
      <c r="F27" s="21">
        <f>IF($L27="","",IF(N($L26)-$L27&lt;=0,"",N($L26)-$L27))</f>
        <v/>
      </c>
      <c r="G27" s="21">
        <f>IF($M27="","",IF(N($M26)-$M27&lt;=0,"",N($M26)-$M27))</f>
        <v/>
      </c>
      <c r="H27" s="21">
        <f>IF($N27="","",IF(N($N26)-$N27&lt;=0,"",N($N26)-$N27))</f>
        <v/>
      </c>
      <c r="I27" s="23" t="n">
        <v>8</v>
      </c>
      <c r="J27" s="23" t="n">
        <v>2</v>
      </c>
      <c r="K27" s="23" t="n">
        <v>13</v>
      </c>
      <c r="L27" s="23" t="n">
        <v>0</v>
      </c>
      <c r="M27" s="23" t="n">
        <v>8</v>
      </c>
      <c r="N27" s="23" t="n">
        <v>2</v>
      </c>
    </row>
    <row r="28">
      <c r="A28" s="19" t="inlineStr">
        <is>
          <t>24 jun</t>
        </is>
      </c>
      <c r="B28" s="20" t="inlineStr">
        <is>
          <t>Jesús Salmerón</t>
        </is>
      </c>
      <c r="C28" s="21">
        <f>IF($I28="","",IF(N($I27)-$I28&lt;=0,"",N($I27)-$I28))</f>
        <v/>
      </c>
      <c r="D28" s="21">
        <f>IF($J28="","",IF(N($J27)-$J28&lt;=0,"",N($J27)-$J28))</f>
        <v/>
      </c>
      <c r="E28" s="21">
        <f>IF($K28="","",IF(N($K27)-$K28&lt;=0,"",N($K27)-$K28))</f>
        <v/>
      </c>
      <c r="F28" s="21">
        <f>IF($L28="","",IF(N($L27)-$L28&lt;=0,"",N($L27)-$L28))</f>
        <v/>
      </c>
      <c r="G28" s="21">
        <f>IF($M28="","",IF(N($M27)-$M28&lt;=0,"",N($M27)-$M28))</f>
        <v/>
      </c>
      <c r="H28" s="21">
        <f>IF($N28="","",IF(N($N27)-$N28&lt;=0,"",N($N27)-$N28))</f>
        <v/>
      </c>
      <c r="I28" s="23" t="n">
        <v>4</v>
      </c>
      <c r="J28" s="23" t="n">
        <v>1</v>
      </c>
      <c r="K28" s="23" t="n">
        <v>13</v>
      </c>
      <c r="L28" s="23" t="n">
        <v>0</v>
      </c>
      <c r="M28" s="23" t="n">
        <v>4</v>
      </c>
      <c r="N28" s="23" t="n">
        <v>1</v>
      </c>
    </row>
    <row r="29">
      <c r="A29" s="19" t="inlineStr">
        <is>
          <t>26 jun</t>
        </is>
      </c>
      <c r="B29" s="20" t="inlineStr">
        <is>
          <t>Jesús Salmerón</t>
        </is>
      </c>
      <c r="C29" s="21">
        <f>IF($I29="","",IF(N($I28)-$I29&lt;=0,"",N($I28)-$I29))</f>
        <v/>
      </c>
      <c r="D29" s="21">
        <f>IF($J29="","",IF(N($J28)-$J29&lt;=0,"",N($J28)-$J29))</f>
        <v/>
      </c>
      <c r="E29" s="21">
        <f>IF($K29="","",IF(N($K28)-$K29&lt;=0,"",N($K28)-$K29))</f>
        <v/>
      </c>
      <c r="F29" s="21">
        <f>IF($L29="","",IF(N($L28)-$L29&lt;=0,"",N($L28)-$L29))</f>
        <v/>
      </c>
      <c r="G29" s="21">
        <f>IF($M29="","",IF(N($M28)-$M29&lt;=0,"",N($M28)-$M29))</f>
        <v/>
      </c>
      <c r="H29" s="21">
        <f>IF($N29="","",IF(N($N28)-$N29&lt;=0,"",N($N28)-$N29))</f>
        <v/>
      </c>
      <c r="I29" s="23" t="n">
        <v>1</v>
      </c>
      <c r="J29" s="23" t="n">
        <v>0</v>
      </c>
      <c r="K29" s="23" t="n">
        <v>13</v>
      </c>
      <c r="L29" s="23" t="n">
        <v>0</v>
      </c>
      <c r="M29" s="23" t="n">
        <v>1</v>
      </c>
      <c r="N29" s="23" t="n">
        <v>0</v>
      </c>
    </row>
    <row r="30">
      <c r="A30" s="19" t="inlineStr">
        <is>
          <t>★ Corte final</t>
        </is>
      </c>
      <c r="B30" s="20" t="inlineStr">
        <is>
          <t>Jesús Salmerón</t>
        </is>
      </c>
      <c r="C30" s="21">
        <f>IF($I30="","",IF(N($I29)-$I30&lt;=0,"",N($I29)-$I30))</f>
        <v/>
      </c>
      <c r="D30" s="21">
        <f>IF($J30="","",IF(N($J29)-$J30&lt;=0,"",N($J29)-$J30))</f>
        <v/>
      </c>
      <c r="E30" s="21">
        <f>IF($K30="","",IF(N($K29)-$K30&lt;=0,"",N($K29)-$K30))</f>
        <v/>
      </c>
      <c r="F30" s="21">
        <f>IF($L30="","",IF(N($L29)-$L30&lt;=0,"",N($L29)-$L30))</f>
        <v/>
      </c>
      <c r="G30" s="21">
        <f>IF($M30="","",IF(N($M29)-$M30&lt;=0,"",N($M29)-$M30))</f>
        <v/>
      </c>
      <c r="H30" s="21">
        <f>IF($N30="","",IF(N($N29)-$N30&lt;=0,"",N($N29)-$N30))</f>
        <v/>
      </c>
      <c r="I30" s="24" t="n">
        <v>0</v>
      </c>
      <c r="J30" s="24" t="n">
        <v>0</v>
      </c>
      <c r="K30" s="24" t="n">
        <v>13</v>
      </c>
      <c r="L30" s="24" t="n">
        <v>0</v>
      </c>
      <c r="M30" s="24" t="n">
        <v>0</v>
      </c>
      <c r="N30" s="24" t="n">
        <v>0</v>
      </c>
    </row>
    <row r="31">
      <c r="A31" s="20" t="n"/>
      <c r="B31" s="20" t="n"/>
      <c r="C31" s="21">
        <f>IF($I31="","",IF(N($I30)-$I31&lt;=0,"",N($I30)-$I31))</f>
        <v/>
      </c>
      <c r="D31" s="21">
        <f>IF($J31="","",IF(N($J30)-$J31&lt;=0,"",N($J30)-$J31))</f>
        <v/>
      </c>
      <c r="E31" s="21">
        <f>IF($K31="","",IF(N($K30)-$K31&lt;=0,"",N($K30)-$K31))</f>
        <v/>
      </c>
      <c r="F31" s="21">
        <f>IF($L31="","",IF(N($L30)-$L31&lt;=0,"",N($L30)-$L31))</f>
        <v/>
      </c>
      <c r="G31" s="21">
        <f>IF($M31="","",IF(N($M30)-$M31&lt;=0,"",N($M30)-$M31))</f>
        <v/>
      </c>
      <c r="H31" s="21">
        <f>IF($N31="","",IF(N($N30)-$N31&lt;=0,"",N($N30)-$N31))</f>
        <v/>
      </c>
      <c r="I31" s="23" t="n"/>
      <c r="J31" s="23" t="n"/>
      <c r="K31" s="23" t="n"/>
      <c r="L31" s="23" t="n"/>
      <c r="M31" s="23" t="n"/>
      <c r="N31" s="23" t="n"/>
    </row>
    <row r="32">
      <c r="A32" s="20" t="n"/>
      <c r="B32" s="20" t="n"/>
      <c r="C32" s="21">
        <f>IF($I32="","",IF(N($I31)-$I32&lt;=0,"",N($I31)-$I32))</f>
        <v/>
      </c>
      <c r="D32" s="21">
        <f>IF($J32="","",IF(N($J31)-$J32&lt;=0,"",N($J31)-$J32))</f>
        <v/>
      </c>
      <c r="E32" s="21">
        <f>IF($K32="","",IF(N($K31)-$K32&lt;=0,"",N($K31)-$K32))</f>
        <v/>
      </c>
      <c r="F32" s="21">
        <f>IF($L32="","",IF(N($L31)-$L32&lt;=0,"",N($L31)-$L32))</f>
        <v/>
      </c>
      <c r="G32" s="21">
        <f>IF($M32="","",IF(N($M31)-$M32&lt;=0,"",N($M31)-$M32))</f>
        <v/>
      </c>
      <c r="H32" s="21">
        <f>IF($N32="","",IF(N($N31)-$N32&lt;=0,"",N($N31)-$N32))</f>
        <v/>
      </c>
      <c r="I32" s="23" t="n"/>
      <c r="J32" s="23" t="n"/>
      <c r="K32" s="23" t="n"/>
      <c r="L32" s="23" t="n"/>
      <c r="M32" s="23" t="n"/>
      <c r="N32" s="23" t="n"/>
    </row>
    <row r="33">
      <c r="A33" s="20" t="n"/>
      <c r="B33" s="20" t="n"/>
      <c r="C33" s="21">
        <f>IF($I33="","",IF(N($I32)-$I33&lt;=0,"",N($I32)-$I33))</f>
        <v/>
      </c>
      <c r="D33" s="21">
        <f>IF($J33="","",IF(N($J32)-$J33&lt;=0,"",N($J32)-$J33))</f>
        <v/>
      </c>
      <c r="E33" s="21">
        <f>IF($K33="","",IF(N($K32)-$K33&lt;=0,"",N($K32)-$K33))</f>
        <v/>
      </c>
      <c r="F33" s="21">
        <f>IF($L33="","",IF(N($L32)-$L33&lt;=0,"",N($L32)-$L33))</f>
        <v/>
      </c>
      <c r="G33" s="21">
        <f>IF($M33="","",IF(N($M32)-$M33&lt;=0,"",N($M32)-$M33))</f>
        <v/>
      </c>
      <c r="H33" s="21">
        <f>IF($N33="","",IF(N($N32)-$N33&lt;=0,"",N($N32)-$N33))</f>
        <v/>
      </c>
      <c r="I33" s="23" t="n"/>
      <c r="J33" s="23" t="n"/>
      <c r="K33" s="23" t="n"/>
      <c r="L33" s="23" t="n"/>
      <c r="M33" s="23" t="n"/>
      <c r="N33" s="23" t="n"/>
    </row>
    <row r="34">
      <c r="A34" s="20" t="n"/>
      <c r="B34" s="20" t="n"/>
      <c r="C34" s="21">
        <f>IF($I34="","",IF(N($I33)-$I34&lt;=0,"",N($I33)-$I34))</f>
        <v/>
      </c>
      <c r="D34" s="21">
        <f>IF($J34="","",IF(N($J33)-$J34&lt;=0,"",N($J33)-$J34))</f>
        <v/>
      </c>
      <c r="E34" s="21">
        <f>IF($K34="","",IF(N($K33)-$K34&lt;=0,"",N($K33)-$K34))</f>
        <v/>
      </c>
      <c r="F34" s="21">
        <f>IF($L34="","",IF(N($L33)-$L34&lt;=0,"",N($L33)-$L34))</f>
        <v/>
      </c>
      <c r="G34" s="21">
        <f>IF($M34="","",IF(N($M33)-$M34&lt;=0,"",N($M33)-$M34))</f>
        <v/>
      </c>
      <c r="H34" s="21">
        <f>IF($N34="","",IF(N($N33)-$N34&lt;=0,"",N($N33)-$N34))</f>
        <v/>
      </c>
      <c r="I34" s="23" t="n"/>
      <c r="J34" s="23" t="n"/>
      <c r="K34" s="23" t="n"/>
      <c r="L34" s="23" t="n"/>
      <c r="M34" s="23" t="n"/>
      <c r="N34" s="23" t="n"/>
    </row>
    <row r="35">
      <c r="A35" s="20" t="n"/>
      <c r="B35" s="20" t="n"/>
      <c r="C35" s="21">
        <f>IF($I35="","",IF(N($I34)-$I35&lt;=0,"",N($I34)-$I35))</f>
        <v/>
      </c>
      <c r="D35" s="21">
        <f>IF($J35="","",IF(N($J34)-$J35&lt;=0,"",N($J34)-$J35))</f>
        <v/>
      </c>
      <c r="E35" s="21">
        <f>IF($K35="","",IF(N($K34)-$K35&lt;=0,"",N($K34)-$K35))</f>
        <v/>
      </c>
      <c r="F35" s="21">
        <f>IF($L35="","",IF(N($L34)-$L35&lt;=0,"",N($L34)-$L35))</f>
        <v/>
      </c>
      <c r="G35" s="21">
        <f>IF($M35="","",IF(N($M34)-$M35&lt;=0,"",N($M34)-$M35))</f>
        <v/>
      </c>
      <c r="H35" s="21">
        <f>IF($N35="","",IF(N($N34)-$N35&lt;=0,"",N($N34)-$N35))</f>
        <v/>
      </c>
      <c r="I35" s="23" t="n"/>
      <c r="J35" s="23" t="n"/>
      <c r="K35" s="23" t="n"/>
      <c r="L35" s="23" t="n"/>
      <c r="M35" s="23" t="n"/>
      <c r="N35" s="23" t="n"/>
    </row>
    <row r="36">
      <c r="A36" s="20" t="n"/>
      <c r="B36" s="20" t="n"/>
      <c r="C36" s="21">
        <f>IF($I36="","",IF(N($I35)-$I36&lt;=0,"",N($I35)-$I36))</f>
        <v/>
      </c>
      <c r="D36" s="21">
        <f>IF($J36="","",IF(N($J35)-$J36&lt;=0,"",N($J35)-$J36))</f>
        <v/>
      </c>
      <c r="E36" s="21">
        <f>IF($K36="","",IF(N($K35)-$K36&lt;=0,"",N($K35)-$K36))</f>
        <v/>
      </c>
      <c r="F36" s="21">
        <f>IF($L36="","",IF(N($L35)-$L36&lt;=0,"",N($L35)-$L36))</f>
        <v/>
      </c>
      <c r="G36" s="21">
        <f>IF($M36="","",IF(N($M35)-$M36&lt;=0,"",N($M35)-$M36))</f>
        <v/>
      </c>
      <c r="H36" s="21">
        <f>IF($N36="","",IF(N($N35)-$N36&lt;=0,"",N($N35)-$N36))</f>
        <v/>
      </c>
      <c r="I36" s="23" t="n"/>
      <c r="J36" s="23" t="n"/>
      <c r="K36" s="23" t="n"/>
      <c r="L36" s="23" t="n"/>
      <c r="M36" s="23" t="n"/>
      <c r="N36" s="23" t="n"/>
    </row>
    <row r="37">
      <c r="A37" s="20" t="n"/>
      <c r="B37" s="20" t="n"/>
      <c r="C37" s="21">
        <f>IF($I37="","",IF(N($I36)-$I37&lt;=0,"",N($I36)-$I37))</f>
        <v/>
      </c>
      <c r="D37" s="21">
        <f>IF($J37="","",IF(N($J36)-$J37&lt;=0,"",N($J36)-$J37))</f>
        <v/>
      </c>
      <c r="E37" s="21">
        <f>IF($K37="","",IF(N($K36)-$K37&lt;=0,"",N($K36)-$K37))</f>
        <v/>
      </c>
      <c r="F37" s="21">
        <f>IF($L37="","",IF(N($L36)-$L37&lt;=0,"",N($L36)-$L37))</f>
        <v/>
      </c>
      <c r="G37" s="21">
        <f>IF($M37="","",IF(N($M36)-$M37&lt;=0,"",N($M36)-$M37))</f>
        <v/>
      </c>
      <c r="H37" s="21">
        <f>IF($N37="","",IF(N($N36)-$N37&lt;=0,"",N($N36)-$N37))</f>
        <v/>
      </c>
      <c r="I37" s="23" t="n"/>
      <c r="J37" s="23" t="n"/>
      <c r="K37" s="23" t="n"/>
      <c r="L37" s="23" t="n"/>
      <c r="M37" s="23" t="n"/>
      <c r="N37" s="23" t="n"/>
    </row>
    <row r="38">
      <c r="A38" s="20" t="n"/>
      <c r="B38" s="20" t="n"/>
      <c r="C38" s="21">
        <f>IF($I38="","",IF(N($I37)-$I38&lt;=0,"",N($I37)-$I38))</f>
        <v/>
      </c>
      <c r="D38" s="21">
        <f>IF($J38="","",IF(N($J37)-$J38&lt;=0,"",N($J37)-$J38))</f>
        <v/>
      </c>
      <c r="E38" s="21">
        <f>IF($K38="","",IF(N($K37)-$K38&lt;=0,"",N($K37)-$K38))</f>
        <v/>
      </c>
      <c r="F38" s="21">
        <f>IF($L38="","",IF(N($L37)-$L38&lt;=0,"",N($L37)-$L38))</f>
        <v/>
      </c>
      <c r="G38" s="21">
        <f>IF($M38="","",IF(N($M37)-$M38&lt;=0,"",N($M37)-$M38))</f>
        <v/>
      </c>
      <c r="H38" s="21">
        <f>IF($N38="","",IF(N($N37)-$N38&lt;=0,"",N($N37)-$N38))</f>
        <v/>
      </c>
      <c r="I38" s="23" t="n"/>
      <c r="J38" s="23" t="n"/>
      <c r="K38" s="23" t="n"/>
      <c r="L38" s="23" t="n"/>
      <c r="M38" s="23" t="n"/>
      <c r="N38" s="23" t="n"/>
    </row>
    <row r="39">
      <c r="A39" s="20" t="n"/>
      <c r="B39" s="20" t="n"/>
      <c r="C39" s="21">
        <f>IF($I39="","",IF(N($I38)-$I39&lt;=0,"",N($I38)-$I39))</f>
        <v/>
      </c>
      <c r="D39" s="21">
        <f>IF($J39="","",IF(N($J38)-$J39&lt;=0,"",N($J38)-$J39))</f>
        <v/>
      </c>
      <c r="E39" s="21">
        <f>IF($K39="","",IF(N($K38)-$K39&lt;=0,"",N($K38)-$K39))</f>
        <v/>
      </c>
      <c r="F39" s="21">
        <f>IF($L39="","",IF(N($L38)-$L39&lt;=0,"",N($L38)-$L39))</f>
        <v/>
      </c>
      <c r="G39" s="21">
        <f>IF($M39="","",IF(N($M38)-$M39&lt;=0,"",N($M38)-$M39))</f>
        <v/>
      </c>
      <c r="H39" s="21">
        <f>IF($N39="","",IF(N($N38)-$N39&lt;=0,"",N($N38)-$N39))</f>
        <v/>
      </c>
      <c r="I39" s="23" t="n"/>
      <c r="J39" s="23" t="n"/>
      <c r="K39" s="23" t="n"/>
      <c r="L39" s="23" t="n"/>
      <c r="M39" s="23" t="n"/>
      <c r="N39" s="23" t="n"/>
    </row>
    <row r="40">
      <c r="A40" s="20" t="n"/>
      <c r="B40" s="20" t="n"/>
      <c r="C40" s="21">
        <f>IF($I40="","",IF(N($I39)-$I40&lt;=0,"",N($I39)-$I40))</f>
        <v/>
      </c>
      <c r="D40" s="21">
        <f>IF($J40="","",IF(N($J39)-$J40&lt;=0,"",N($J39)-$J40))</f>
        <v/>
      </c>
      <c r="E40" s="21">
        <f>IF($K40="","",IF(N($K39)-$K40&lt;=0,"",N($K39)-$K40))</f>
        <v/>
      </c>
      <c r="F40" s="21">
        <f>IF($L40="","",IF(N($L39)-$L40&lt;=0,"",N($L39)-$L40))</f>
        <v/>
      </c>
      <c r="G40" s="21">
        <f>IF($M40="","",IF(N($M39)-$M40&lt;=0,"",N($M39)-$M40))</f>
        <v/>
      </c>
      <c r="H40" s="21">
        <f>IF($N40="","",IF(N($N39)-$N40&lt;=0,"",N($N39)-$N40))</f>
        <v/>
      </c>
      <c r="I40" s="23" t="n"/>
      <c r="J40" s="23" t="n"/>
      <c r="K40" s="23" t="n"/>
      <c r="L40" s="23" t="n"/>
      <c r="M40" s="23" t="n"/>
      <c r="N40" s="23" t="n"/>
    </row>
    <row r="41">
      <c r="A41" s="20" t="n"/>
      <c r="B41" s="20" t="n"/>
      <c r="C41" s="21">
        <f>IF($I41="","",IF(N($I40)-$I41&lt;=0,"",N($I40)-$I41))</f>
        <v/>
      </c>
      <c r="D41" s="21">
        <f>IF($J41="","",IF(N($J40)-$J41&lt;=0,"",N($J40)-$J41))</f>
        <v/>
      </c>
      <c r="E41" s="21">
        <f>IF($K41="","",IF(N($K40)-$K41&lt;=0,"",N($K40)-$K41))</f>
        <v/>
      </c>
      <c r="F41" s="21">
        <f>IF($L41="","",IF(N($L40)-$L41&lt;=0,"",N($L40)-$L41))</f>
        <v/>
      </c>
      <c r="G41" s="21">
        <f>IF($M41="","",IF(N($M40)-$M41&lt;=0,"",N($M40)-$M41))</f>
        <v/>
      </c>
      <c r="H41" s="21">
        <f>IF($N41="","",IF(N($N40)-$N41&lt;=0,"",N($N40)-$N41))</f>
        <v/>
      </c>
      <c r="I41" s="23" t="n"/>
      <c r="J41" s="23" t="n"/>
      <c r="K41" s="23" t="n"/>
      <c r="L41" s="23" t="n"/>
      <c r="M41" s="23" t="n"/>
      <c r="N41" s="23" t="n"/>
    </row>
    <row r="42">
      <c r="A42" s="20" t="n"/>
      <c r="B42" s="20" t="n"/>
      <c r="C42" s="21">
        <f>IF($I42="","",IF(N($I41)-$I42&lt;=0,"",N($I41)-$I42))</f>
        <v/>
      </c>
      <c r="D42" s="21">
        <f>IF($J42="","",IF(N($J41)-$J42&lt;=0,"",N($J41)-$J42))</f>
        <v/>
      </c>
      <c r="E42" s="21">
        <f>IF($K42="","",IF(N($K41)-$K42&lt;=0,"",N($K41)-$K42))</f>
        <v/>
      </c>
      <c r="F42" s="21">
        <f>IF($L42="","",IF(N($L41)-$L42&lt;=0,"",N($L41)-$L42))</f>
        <v/>
      </c>
      <c r="G42" s="21">
        <f>IF($M42="","",IF(N($M41)-$M42&lt;=0,"",N($M41)-$M42))</f>
        <v/>
      </c>
      <c r="H42" s="21">
        <f>IF($N42="","",IF(N($N41)-$N42&lt;=0,"",N($N41)-$N42))</f>
        <v/>
      </c>
      <c r="I42" s="23" t="n"/>
      <c r="J42" s="23" t="n"/>
      <c r="K42" s="23" t="n"/>
      <c r="L42" s="23" t="n"/>
      <c r="M42" s="23" t="n"/>
      <c r="N42" s="23" t="n"/>
    </row>
    <row r="43">
      <c r="A43" s="20" t="n"/>
      <c r="B43" s="20" t="n"/>
      <c r="C43" s="21">
        <f>IF($I43="","",IF(N($I42)-$I43&lt;=0,"",N($I42)-$I43))</f>
        <v/>
      </c>
      <c r="D43" s="21">
        <f>IF($J43="","",IF(N($J42)-$J43&lt;=0,"",N($J42)-$J43))</f>
        <v/>
      </c>
      <c r="E43" s="21">
        <f>IF($K43="","",IF(N($K42)-$K43&lt;=0,"",N($K42)-$K43))</f>
        <v/>
      </c>
      <c r="F43" s="21">
        <f>IF($L43="","",IF(N($L42)-$L43&lt;=0,"",N($L42)-$L43))</f>
        <v/>
      </c>
      <c r="G43" s="21">
        <f>IF($M43="","",IF(N($M42)-$M43&lt;=0,"",N($M42)-$M43))</f>
        <v/>
      </c>
      <c r="H43" s="21">
        <f>IF($N43="","",IF(N($N42)-$N43&lt;=0,"",N($N42)-$N43))</f>
        <v/>
      </c>
      <c r="I43" s="23" t="n"/>
      <c r="J43" s="23" t="n"/>
      <c r="K43" s="23" t="n"/>
      <c r="L43" s="23" t="n"/>
      <c r="M43" s="23" t="n"/>
      <c r="N43" s="23" t="n"/>
    </row>
    <row r="44">
      <c r="A44" s="20" t="n"/>
      <c r="B44" s="20" t="n"/>
      <c r="C44" s="21">
        <f>IF($I44="","",IF(N($I43)-$I44&lt;=0,"",N($I43)-$I44))</f>
        <v/>
      </c>
      <c r="D44" s="21">
        <f>IF($J44="","",IF(N($J43)-$J44&lt;=0,"",N($J43)-$J44))</f>
        <v/>
      </c>
      <c r="E44" s="21">
        <f>IF($K44="","",IF(N($K43)-$K44&lt;=0,"",N($K43)-$K44))</f>
        <v/>
      </c>
      <c r="F44" s="21">
        <f>IF($L44="","",IF(N($L43)-$L44&lt;=0,"",N($L43)-$L44))</f>
        <v/>
      </c>
      <c r="G44" s="21">
        <f>IF($M44="","",IF(N($M43)-$M44&lt;=0,"",N($M43)-$M44))</f>
        <v/>
      </c>
      <c r="H44" s="21">
        <f>IF($N44="","",IF(N($N43)-$N44&lt;=0,"",N($N43)-$N44))</f>
        <v/>
      </c>
      <c r="I44" s="23" t="n"/>
      <c r="J44" s="23" t="n"/>
      <c r="K44" s="23" t="n"/>
      <c r="L44" s="23" t="n"/>
      <c r="M44" s="23" t="n"/>
      <c r="N44" s="23" t="n"/>
    </row>
  </sheetData>
  <mergeCells count="2">
    <mergeCell ref="A3:N3"/>
    <mergeCell ref="A2:N2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N26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26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2">
      <c r="A2" s="15" t="inlineStr">
        <is>
          <t>HISTORIAL DE INVENTARIO — LOTE 10 MZA 7 (ACTIVO)</t>
        </is>
      </c>
    </row>
    <row r="3">
      <c r="A3" s="16" t="inlineStr">
        <is>
          <t>Salió = sale solo (saldo anterior − saldo del día) · Para registrar un día nuevo: escribe en el primer renglón en blanco (la tabla se extiende sola).</t>
        </is>
      </c>
    </row>
    <row r="5">
      <c r="A5" s="17" t="inlineStr">
        <is>
          <t>Fecha</t>
        </is>
      </c>
      <c r="B5" s="17" t="inlineStr">
        <is>
          <t>Pisero</t>
        </is>
      </c>
      <c r="C5" s="18" t="inlineStr">
        <is>
          <t>Salió Moret</t>
        </is>
      </c>
      <c r="D5" s="18" t="inlineStr">
        <is>
          <t>Salió Urbania</t>
        </is>
      </c>
      <c r="E5" s="18" t="inlineStr">
        <is>
          <t>Salió Malla</t>
        </is>
      </c>
      <c r="F5" s="18" t="inlineStr">
        <is>
          <t>Salió Duela</t>
        </is>
      </c>
      <c r="G5" s="18" t="inlineStr">
        <is>
          <t>Salió Pegavitro</t>
        </is>
      </c>
      <c r="H5" s="18" t="inlineStr">
        <is>
          <t>Salió Porcelánico</t>
        </is>
      </c>
      <c r="I5" s="17" t="inlineStr">
        <is>
          <t>Piso Moret</t>
        </is>
      </c>
      <c r="J5" s="17" t="inlineStr">
        <is>
          <t>Urbania White</t>
        </is>
      </c>
      <c r="K5" s="17" t="inlineStr">
        <is>
          <t>Malla Lyndhurst</t>
        </is>
      </c>
      <c r="L5" s="17" t="inlineStr">
        <is>
          <t>Royal Walnut</t>
        </is>
      </c>
      <c r="M5" s="17" t="inlineStr">
        <is>
          <t>Pegavitro</t>
        </is>
      </c>
      <c r="N5" s="17" t="inlineStr">
        <is>
          <t>Fija Porcelánico</t>
        </is>
      </c>
    </row>
    <row r="6">
      <c r="A6" s="19" t="inlineStr">
        <is>
          <t>▶ Inicial</t>
        </is>
      </c>
      <c r="B6" s="20" t="inlineStr"/>
      <c r="C6" s="21" t="n"/>
      <c r="D6" s="21" t="n"/>
      <c r="E6" s="21" t="n"/>
      <c r="F6" s="21" t="n"/>
      <c r="G6" s="21" t="n"/>
      <c r="H6" s="21" t="n"/>
      <c r="I6" s="22" t="n">
        <v>98</v>
      </c>
      <c r="J6" s="22" t="n">
        <v>7</v>
      </c>
      <c r="K6" s="22" t="n">
        <v>17</v>
      </c>
      <c r="L6" s="22" t="n">
        <v>37</v>
      </c>
      <c r="M6" s="22" t="n">
        <v>79</v>
      </c>
      <c r="N6" s="22" t="n">
        <v>39</v>
      </c>
    </row>
    <row r="7">
      <c r="A7" s="19" t="inlineStr">
        <is>
          <t>15 jun</t>
        </is>
      </c>
      <c r="B7" s="20" t="inlineStr">
        <is>
          <t>Jesús Salmerón</t>
        </is>
      </c>
      <c r="C7" s="21">
        <f>IF($I7="","",IF(N($I6)-$I7&lt;=0,"",N($I6)-$I7))</f>
        <v/>
      </c>
      <c r="D7" s="21">
        <f>IF($J7="","",IF(N($J6)-$J7&lt;=0,"",N($J6)-$J7))</f>
        <v/>
      </c>
      <c r="E7" s="21">
        <f>IF($K7="","",IF(N($K6)-$K7&lt;=0,"",N($K6)-$K7))</f>
        <v/>
      </c>
      <c r="F7" s="21">
        <f>IF($L7="","",IF(N($L6)-$L7&lt;=0,"",N($L6)-$L7))</f>
        <v/>
      </c>
      <c r="G7" s="21">
        <f>IF($M7="","",IF(N($M6)-$M7&lt;=0,"",N($M6)-$M7))</f>
        <v/>
      </c>
      <c r="H7" s="21">
        <f>IF($N7="","",IF(N($N6)-$N7&lt;=0,"",N($N6)-$N7))</f>
        <v/>
      </c>
      <c r="I7" s="23" t="n">
        <v>88</v>
      </c>
      <c r="J7" s="23" t="n">
        <v>7</v>
      </c>
      <c r="K7" s="23" t="n">
        <v>17</v>
      </c>
      <c r="L7" s="23" t="n">
        <v>29</v>
      </c>
      <c r="M7" s="23" t="n">
        <v>71</v>
      </c>
      <c r="N7" s="23" t="n">
        <v>34</v>
      </c>
    </row>
    <row r="8">
      <c r="A8" s="19" t="inlineStr">
        <is>
          <t>16 jun</t>
        </is>
      </c>
      <c r="B8" s="20" t="inlineStr">
        <is>
          <t>Jesús Salmerón</t>
        </is>
      </c>
      <c r="C8" s="21">
        <f>IF($I8="","",IF(N($I7)-$I8&lt;=0,"",N($I7)-$I8))</f>
        <v/>
      </c>
      <c r="D8" s="21">
        <f>IF($J8="","",IF(N($J7)-$J8&lt;=0,"",N($J7)-$J8))</f>
        <v/>
      </c>
      <c r="E8" s="21">
        <f>IF($K8="","",IF(N($K7)-$K8&lt;=0,"",N($K7)-$K8))</f>
        <v/>
      </c>
      <c r="F8" s="21">
        <f>IF($L8="","",IF(N($L7)-$L8&lt;=0,"",N($L7)-$L8))</f>
        <v/>
      </c>
      <c r="G8" s="21">
        <f>IF($M8="","",IF(N($M7)-$M8&lt;=0,"",N($M7)-$M8))</f>
        <v/>
      </c>
      <c r="H8" s="21">
        <f>IF($N8="","",IF(N($N7)-$N8&lt;=0,"",N($N7)-$N8))</f>
        <v/>
      </c>
      <c r="I8" s="23" t="n">
        <v>78</v>
      </c>
      <c r="J8" s="23" t="n">
        <v>7</v>
      </c>
      <c r="K8" s="23" t="n">
        <v>17</v>
      </c>
      <c r="L8" s="23" t="n">
        <v>21</v>
      </c>
      <c r="M8" s="23" t="n">
        <v>63</v>
      </c>
      <c r="N8" s="23" t="n">
        <v>29</v>
      </c>
    </row>
    <row r="9">
      <c r="A9" s="19" t="inlineStr">
        <is>
          <t>17 jun</t>
        </is>
      </c>
      <c r="B9" s="20" t="inlineStr">
        <is>
          <t>Jesús Salmerón</t>
        </is>
      </c>
      <c r="C9" s="21">
        <f>IF($I9="","",IF(N($I8)-$I9&lt;=0,"",N($I8)-$I9))</f>
        <v/>
      </c>
      <c r="D9" s="21">
        <f>IF($J9="","",IF(N($J8)-$J9&lt;=0,"",N($J8)-$J9))</f>
        <v/>
      </c>
      <c r="E9" s="21">
        <f>IF($K9="","",IF(N($K8)-$K9&lt;=0,"",N($K8)-$K9))</f>
        <v/>
      </c>
      <c r="F9" s="21">
        <f>IF($L9="","",IF(N($L8)-$L9&lt;=0,"",N($L8)-$L9))</f>
        <v/>
      </c>
      <c r="G9" s="21">
        <f>IF($M9="","",IF(N($M8)-$M9&lt;=0,"",N($M8)-$M9))</f>
        <v/>
      </c>
      <c r="H9" s="21">
        <f>IF($N9="","",IF(N($N8)-$N9&lt;=0,"",N($N8)-$N9))</f>
        <v/>
      </c>
      <c r="I9" s="23" t="n">
        <v>68</v>
      </c>
      <c r="J9" s="23" t="n">
        <v>7</v>
      </c>
      <c r="K9" s="23" t="n">
        <v>17</v>
      </c>
      <c r="L9" s="23" t="n">
        <v>14</v>
      </c>
      <c r="M9" s="23" t="n">
        <v>56</v>
      </c>
      <c r="N9" s="23" t="n">
        <v>25</v>
      </c>
    </row>
    <row r="10">
      <c r="A10" s="19" t="inlineStr">
        <is>
          <t>18 jun</t>
        </is>
      </c>
      <c r="B10" s="20" t="inlineStr">
        <is>
          <t>Jesús Salmerón</t>
        </is>
      </c>
      <c r="C10" s="21">
        <f>IF($I10="","",IF(N($I9)-$I10&lt;=0,"",N($I9)-$I10))</f>
        <v/>
      </c>
      <c r="D10" s="21">
        <f>IF($J10="","",IF(N($J9)-$J10&lt;=0,"",N($J9)-$J10))</f>
        <v/>
      </c>
      <c r="E10" s="21">
        <f>IF($K10="","",IF(N($K9)-$K10&lt;=0,"",N($K9)-$K10))</f>
        <v/>
      </c>
      <c r="F10" s="21">
        <f>IF($L10="","",IF(N($L9)-$L10&lt;=0,"",N($L9)-$L10))</f>
        <v/>
      </c>
      <c r="G10" s="21">
        <f>IF($M10="","",IF(N($M9)-$M10&lt;=0,"",N($M9)-$M10))</f>
        <v/>
      </c>
      <c r="H10" s="21">
        <f>IF($N10="","",IF(N($N9)-$N10&lt;=0,"",N($N9)-$N10))</f>
        <v/>
      </c>
      <c r="I10" s="23" t="n">
        <v>60</v>
      </c>
      <c r="J10" s="23" t="n">
        <v>7</v>
      </c>
      <c r="K10" s="23" t="n">
        <v>17</v>
      </c>
      <c r="L10" s="23" t="n">
        <v>8</v>
      </c>
      <c r="M10" s="23" t="n">
        <v>50</v>
      </c>
      <c r="N10" s="23" t="n">
        <v>21</v>
      </c>
    </row>
    <row r="11">
      <c r="A11" s="19" t="inlineStr">
        <is>
          <t>23 jun</t>
        </is>
      </c>
      <c r="B11" s="20" t="inlineStr">
        <is>
          <t>Jesús Salmerón</t>
        </is>
      </c>
      <c r="C11" s="21">
        <f>IF($I11="","",IF(N($I10)-$I11&lt;=0,"",N($I10)-$I11))</f>
        <v/>
      </c>
      <c r="D11" s="21">
        <f>IF($J11="","",IF(N($J10)-$J11&lt;=0,"",N($J10)-$J11))</f>
        <v/>
      </c>
      <c r="E11" s="21">
        <f>IF($K11="","",IF(N($K10)-$K11&lt;=0,"",N($K10)-$K11))</f>
        <v/>
      </c>
      <c r="F11" s="21">
        <f>IF($L11="","",IF(N($L10)-$L11&lt;=0,"",N($L10)-$L11))</f>
        <v/>
      </c>
      <c r="G11" s="21">
        <f>IF($M11="","",IF(N($M10)-$M11&lt;=0,"",N($M10)-$M11))</f>
        <v/>
      </c>
      <c r="H11" s="21">
        <f>IF($N11="","",IF(N($N10)-$N11&lt;=0,"",N($N10)-$N11))</f>
        <v/>
      </c>
      <c r="I11" s="23" t="n">
        <v>54</v>
      </c>
      <c r="J11" s="23" t="n">
        <v>7</v>
      </c>
      <c r="K11" s="23" t="n">
        <v>13</v>
      </c>
      <c r="L11" s="23" t="n">
        <v>4</v>
      </c>
      <c r="M11" s="23" t="n">
        <v>45</v>
      </c>
      <c r="N11" s="23" t="n">
        <v>17</v>
      </c>
    </row>
    <row r="12">
      <c r="A12" s="19" t="inlineStr">
        <is>
          <t>★ 24 jun (saldo actual)</t>
        </is>
      </c>
      <c r="B12" s="20" t="inlineStr">
        <is>
          <t>Jesús Salmerón</t>
        </is>
      </c>
      <c r="C12" s="21">
        <f>IF($I12="","",IF(N($I11)-$I12&lt;=0,"",N($I11)-$I12))</f>
        <v/>
      </c>
      <c r="D12" s="21">
        <f>IF($J12="","",IF(N($J11)-$J12&lt;=0,"",N($J11)-$J12))</f>
        <v/>
      </c>
      <c r="E12" s="21">
        <f>IF($K12="","",IF(N($K11)-$K12&lt;=0,"",N($K11)-$K12))</f>
        <v/>
      </c>
      <c r="F12" s="21">
        <f>IF($L12="","",IF(N($L11)-$L12&lt;=0,"",N($L11)-$L12))</f>
        <v/>
      </c>
      <c r="G12" s="21">
        <f>IF($M12="","",IF(N($M11)-$M12&lt;=0,"",N($M11)-$M12))</f>
        <v/>
      </c>
      <c r="H12" s="21">
        <f>IF($N12="","",IF(N($N11)-$N12&lt;=0,"",N($N11)-$N12))</f>
        <v/>
      </c>
      <c r="I12" s="24" t="n">
        <v>48</v>
      </c>
      <c r="J12" s="24" t="n">
        <v>7</v>
      </c>
      <c r="K12" s="24" t="n">
        <v>9</v>
      </c>
      <c r="L12" s="24" t="n">
        <v>0</v>
      </c>
      <c r="M12" s="24" t="n">
        <v>41</v>
      </c>
      <c r="N12" s="24" t="n">
        <v>14</v>
      </c>
    </row>
    <row r="13">
      <c r="A13" s="20" t="n"/>
      <c r="B13" s="20" t="n"/>
      <c r="C13" s="21">
        <f>IF($I13="","",IF(N($I12)-$I13&lt;=0,"",N($I12)-$I13))</f>
        <v/>
      </c>
      <c r="D13" s="21">
        <f>IF($J13="","",IF(N($J12)-$J13&lt;=0,"",N($J12)-$J13))</f>
        <v/>
      </c>
      <c r="E13" s="21">
        <f>IF($K13="","",IF(N($K12)-$K13&lt;=0,"",N($K12)-$K13))</f>
        <v/>
      </c>
      <c r="F13" s="21">
        <f>IF($L13="","",IF(N($L12)-$L13&lt;=0,"",N($L12)-$L13))</f>
        <v/>
      </c>
      <c r="G13" s="21">
        <f>IF($M13="","",IF(N($M12)-$M13&lt;=0,"",N($M12)-$M13))</f>
        <v/>
      </c>
      <c r="H13" s="21">
        <f>IF($N13="","",IF(N($N12)-$N13&lt;=0,"",N($N12)-$N13))</f>
        <v/>
      </c>
      <c r="I13" s="23" t="n"/>
      <c r="J13" s="23" t="n"/>
      <c r="K13" s="23" t="n"/>
      <c r="L13" s="23" t="n"/>
      <c r="M13" s="23" t="n"/>
      <c r="N13" s="23" t="n"/>
    </row>
    <row r="14">
      <c r="A14" s="20" t="n"/>
      <c r="B14" s="20" t="n"/>
      <c r="C14" s="21">
        <f>IF($I14="","",IF(N($I13)-$I14&lt;=0,"",N($I13)-$I14))</f>
        <v/>
      </c>
      <c r="D14" s="21">
        <f>IF($J14="","",IF(N($J13)-$J14&lt;=0,"",N($J13)-$J14))</f>
        <v/>
      </c>
      <c r="E14" s="21">
        <f>IF($K14="","",IF(N($K13)-$K14&lt;=0,"",N($K13)-$K14))</f>
        <v/>
      </c>
      <c r="F14" s="21">
        <f>IF($L14="","",IF(N($L13)-$L14&lt;=0,"",N($L13)-$L14))</f>
        <v/>
      </c>
      <c r="G14" s="21">
        <f>IF($M14="","",IF(N($M13)-$M14&lt;=0,"",N($M13)-$M14))</f>
        <v/>
      </c>
      <c r="H14" s="21">
        <f>IF($N14="","",IF(N($N13)-$N14&lt;=0,"",N($N13)-$N14))</f>
        <v/>
      </c>
      <c r="I14" s="23" t="n"/>
      <c r="J14" s="23" t="n"/>
      <c r="K14" s="23" t="n"/>
      <c r="L14" s="23" t="n"/>
      <c r="M14" s="23" t="n"/>
      <c r="N14" s="23" t="n"/>
    </row>
    <row r="15">
      <c r="A15" s="20" t="n"/>
      <c r="B15" s="20" t="n"/>
      <c r="C15" s="21">
        <f>IF($I15="","",IF(N($I14)-$I15&lt;=0,"",N($I14)-$I15))</f>
        <v/>
      </c>
      <c r="D15" s="21">
        <f>IF($J15="","",IF(N($J14)-$J15&lt;=0,"",N($J14)-$J15))</f>
        <v/>
      </c>
      <c r="E15" s="21">
        <f>IF($K15="","",IF(N($K14)-$K15&lt;=0,"",N($K14)-$K15))</f>
        <v/>
      </c>
      <c r="F15" s="21">
        <f>IF($L15="","",IF(N($L14)-$L15&lt;=0,"",N($L14)-$L15))</f>
        <v/>
      </c>
      <c r="G15" s="21">
        <f>IF($M15="","",IF(N($M14)-$M15&lt;=0,"",N($M14)-$M15))</f>
        <v/>
      </c>
      <c r="H15" s="21">
        <f>IF($N15="","",IF(N($N14)-$N15&lt;=0,"",N($N14)-$N15))</f>
        <v/>
      </c>
      <c r="I15" s="23" t="n"/>
      <c r="J15" s="23" t="n"/>
      <c r="K15" s="23" t="n"/>
      <c r="L15" s="23" t="n"/>
      <c r="M15" s="23" t="n"/>
      <c r="N15" s="23" t="n"/>
    </row>
    <row r="16">
      <c r="A16" s="20" t="n"/>
      <c r="B16" s="20" t="n"/>
      <c r="C16" s="21">
        <f>IF($I16="","",IF(N($I15)-$I16&lt;=0,"",N($I15)-$I16))</f>
        <v/>
      </c>
      <c r="D16" s="21">
        <f>IF($J16="","",IF(N($J15)-$J16&lt;=0,"",N($J15)-$J16))</f>
        <v/>
      </c>
      <c r="E16" s="21">
        <f>IF($K16="","",IF(N($K15)-$K16&lt;=0,"",N($K15)-$K16))</f>
        <v/>
      </c>
      <c r="F16" s="21">
        <f>IF($L16="","",IF(N($L15)-$L16&lt;=0,"",N($L15)-$L16))</f>
        <v/>
      </c>
      <c r="G16" s="21">
        <f>IF($M16="","",IF(N($M15)-$M16&lt;=0,"",N($M15)-$M16))</f>
        <v/>
      </c>
      <c r="H16" s="21">
        <f>IF($N16="","",IF(N($N15)-$N16&lt;=0,"",N($N15)-$N16))</f>
        <v/>
      </c>
      <c r="I16" s="23" t="n"/>
      <c r="J16" s="23" t="n"/>
      <c r="K16" s="23" t="n"/>
      <c r="L16" s="23" t="n"/>
      <c r="M16" s="23" t="n"/>
      <c r="N16" s="23" t="n"/>
    </row>
    <row r="17">
      <c r="A17" s="20" t="n"/>
      <c r="B17" s="20" t="n"/>
      <c r="C17" s="21">
        <f>IF($I17="","",IF(N($I16)-$I17&lt;=0,"",N($I16)-$I17))</f>
        <v/>
      </c>
      <c r="D17" s="21">
        <f>IF($J17="","",IF(N($J16)-$J17&lt;=0,"",N($J16)-$J17))</f>
        <v/>
      </c>
      <c r="E17" s="21">
        <f>IF($K17="","",IF(N($K16)-$K17&lt;=0,"",N($K16)-$K17))</f>
        <v/>
      </c>
      <c r="F17" s="21">
        <f>IF($L17="","",IF(N($L16)-$L17&lt;=0,"",N($L16)-$L17))</f>
        <v/>
      </c>
      <c r="G17" s="21">
        <f>IF($M17="","",IF(N($M16)-$M17&lt;=0,"",N($M16)-$M17))</f>
        <v/>
      </c>
      <c r="H17" s="21">
        <f>IF($N17="","",IF(N($N16)-$N17&lt;=0,"",N($N16)-$N17))</f>
        <v/>
      </c>
      <c r="I17" s="23" t="n"/>
      <c r="J17" s="23" t="n"/>
      <c r="K17" s="23" t="n"/>
      <c r="L17" s="23" t="n"/>
      <c r="M17" s="23" t="n"/>
      <c r="N17" s="23" t="n"/>
    </row>
    <row r="18">
      <c r="A18" s="20" t="n"/>
      <c r="B18" s="20" t="n"/>
      <c r="C18" s="21">
        <f>IF($I18="","",IF(N($I17)-$I18&lt;=0,"",N($I17)-$I18))</f>
        <v/>
      </c>
      <c r="D18" s="21">
        <f>IF($J18="","",IF(N($J17)-$J18&lt;=0,"",N($J17)-$J18))</f>
        <v/>
      </c>
      <c r="E18" s="21">
        <f>IF($K18="","",IF(N($K17)-$K18&lt;=0,"",N($K17)-$K18))</f>
        <v/>
      </c>
      <c r="F18" s="21">
        <f>IF($L18="","",IF(N($L17)-$L18&lt;=0,"",N($L17)-$L18))</f>
        <v/>
      </c>
      <c r="G18" s="21">
        <f>IF($M18="","",IF(N($M17)-$M18&lt;=0,"",N($M17)-$M18))</f>
        <v/>
      </c>
      <c r="H18" s="21">
        <f>IF($N18="","",IF(N($N17)-$N18&lt;=0,"",N($N17)-$N18))</f>
        <v/>
      </c>
      <c r="I18" s="23" t="n"/>
      <c r="J18" s="23" t="n"/>
      <c r="K18" s="23" t="n"/>
      <c r="L18" s="23" t="n"/>
      <c r="M18" s="23" t="n"/>
      <c r="N18" s="23" t="n"/>
    </row>
    <row r="19">
      <c r="A19" s="20" t="n"/>
      <c r="B19" s="20" t="n"/>
      <c r="C19" s="21">
        <f>IF($I19="","",IF(N($I18)-$I19&lt;=0,"",N($I18)-$I19))</f>
        <v/>
      </c>
      <c r="D19" s="21">
        <f>IF($J19="","",IF(N($J18)-$J19&lt;=0,"",N($J18)-$J19))</f>
        <v/>
      </c>
      <c r="E19" s="21">
        <f>IF($K19="","",IF(N($K18)-$K19&lt;=0,"",N($K18)-$K19))</f>
        <v/>
      </c>
      <c r="F19" s="21">
        <f>IF($L19="","",IF(N($L18)-$L19&lt;=0,"",N($L18)-$L19))</f>
        <v/>
      </c>
      <c r="G19" s="21">
        <f>IF($M19="","",IF(N($M18)-$M19&lt;=0,"",N($M18)-$M19))</f>
        <v/>
      </c>
      <c r="H19" s="21">
        <f>IF($N19="","",IF(N($N18)-$N19&lt;=0,"",N($N18)-$N19))</f>
        <v/>
      </c>
      <c r="I19" s="23" t="n"/>
      <c r="J19" s="23" t="n"/>
      <c r="K19" s="23" t="n"/>
      <c r="L19" s="23" t="n"/>
      <c r="M19" s="23" t="n"/>
      <c r="N19" s="23" t="n"/>
    </row>
    <row r="20">
      <c r="A20" s="20" t="n"/>
      <c r="B20" s="20" t="n"/>
      <c r="C20" s="21">
        <f>IF($I20="","",IF(N($I19)-$I20&lt;=0,"",N($I19)-$I20))</f>
        <v/>
      </c>
      <c r="D20" s="21">
        <f>IF($J20="","",IF(N($J19)-$J20&lt;=0,"",N($J19)-$J20))</f>
        <v/>
      </c>
      <c r="E20" s="21">
        <f>IF($K20="","",IF(N($K19)-$K20&lt;=0,"",N($K19)-$K20))</f>
        <v/>
      </c>
      <c r="F20" s="21">
        <f>IF($L20="","",IF(N($L19)-$L20&lt;=0,"",N($L19)-$L20))</f>
        <v/>
      </c>
      <c r="G20" s="21">
        <f>IF($M20="","",IF(N($M19)-$M20&lt;=0,"",N($M19)-$M20))</f>
        <v/>
      </c>
      <c r="H20" s="21">
        <f>IF($N20="","",IF(N($N19)-$N20&lt;=0,"",N($N19)-$N20))</f>
        <v/>
      </c>
      <c r="I20" s="23" t="n"/>
      <c r="J20" s="23" t="n"/>
      <c r="K20" s="23" t="n"/>
      <c r="L20" s="23" t="n"/>
      <c r="M20" s="23" t="n"/>
      <c r="N20" s="23" t="n"/>
    </row>
    <row r="21">
      <c r="A21" s="20" t="n"/>
      <c r="B21" s="20" t="n"/>
      <c r="C21" s="21">
        <f>IF($I21="","",IF(N($I20)-$I21&lt;=0,"",N($I20)-$I21))</f>
        <v/>
      </c>
      <c r="D21" s="21">
        <f>IF($J21="","",IF(N($J20)-$J21&lt;=0,"",N($J20)-$J21))</f>
        <v/>
      </c>
      <c r="E21" s="21">
        <f>IF($K21="","",IF(N($K20)-$K21&lt;=0,"",N($K20)-$K21))</f>
        <v/>
      </c>
      <c r="F21" s="21">
        <f>IF($L21="","",IF(N($L20)-$L21&lt;=0,"",N($L20)-$L21))</f>
        <v/>
      </c>
      <c r="G21" s="21">
        <f>IF($M21="","",IF(N($M20)-$M21&lt;=0,"",N($M20)-$M21))</f>
        <v/>
      </c>
      <c r="H21" s="21">
        <f>IF($N21="","",IF(N($N20)-$N21&lt;=0,"",N($N20)-$N21))</f>
        <v/>
      </c>
      <c r="I21" s="23" t="n"/>
      <c r="J21" s="23" t="n"/>
      <c r="K21" s="23" t="n"/>
      <c r="L21" s="23" t="n"/>
      <c r="M21" s="23" t="n"/>
      <c r="N21" s="23" t="n"/>
    </row>
    <row r="22">
      <c r="A22" s="20" t="n"/>
      <c r="B22" s="20" t="n"/>
      <c r="C22" s="21">
        <f>IF($I22="","",IF(N($I21)-$I22&lt;=0,"",N($I21)-$I22))</f>
        <v/>
      </c>
      <c r="D22" s="21">
        <f>IF($J22="","",IF(N($J21)-$J22&lt;=0,"",N($J21)-$J22))</f>
        <v/>
      </c>
      <c r="E22" s="21">
        <f>IF($K22="","",IF(N($K21)-$K22&lt;=0,"",N($K21)-$K22))</f>
        <v/>
      </c>
      <c r="F22" s="21">
        <f>IF($L22="","",IF(N($L21)-$L22&lt;=0,"",N($L21)-$L22))</f>
        <v/>
      </c>
      <c r="G22" s="21">
        <f>IF($M22="","",IF(N($M21)-$M22&lt;=0,"",N($M21)-$M22))</f>
        <v/>
      </c>
      <c r="H22" s="21">
        <f>IF($N22="","",IF(N($N21)-$N22&lt;=0,"",N($N21)-$N22))</f>
        <v/>
      </c>
      <c r="I22" s="23" t="n"/>
      <c r="J22" s="23" t="n"/>
      <c r="K22" s="23" t="n"/>
      <c r="L22" s="23" t="n"/>
      <c r="M22" s="23" t="n"/>
      <c r="N22" s="23" t="n"/>
    </row>
    <row r="23">
      <c r="A23" s="20" t="n"/>
      <c r="B23" s="20" t="n"/>
      <c r="C23" s="21">
        <f>IF($I23="","",IF(N($I22)-$I23&lt;=0,"",N($I22)-$I23))</f>
        <v/>
      </c>
      <c r="D23" s="21">
        <f>IF($J23="","",IF(N($J22)-$J23&lt;=0,"",N($J22)-$J23))</f>
        <v/>
      </c>
      <c r="E23" s="21">
        <f>IF($K23="","",IF(N($K22)-$K23&lt;=0,"",N($K22)-$K23))</f>
        <v/>
      </c>
      <c r="F23" s="21">
        <f>IF($L23="","",IF(N($L22)-$L23&lt;=0,"",N($L22)-$L23))</f>
        <v/>
      </c>
      <c r="G23" s="21">
        <f>IF($M23="","",IF(N($M22)-$M23&lt;=0,"",N($M22)-$M23))</f>
        <v/>
      </c>
      <c r="H23" s="21">
        <f>IF($N23="","",IF(N($N22)-$N23&lt;=0,"",N($N22)-$N23))</f>
        <v/>
      </c>
      <c r="I23" s="23" t="n"/>
      <c r="J23" s="23" t="n"/>
      <c r="K23" s="23" t="n"/>
      <c r="L23" s="23" t="n"/>
      <c r="M23" s="23" t="n"/>
      <c r="N23" s="23" t="n"/>
    </row>
    <row r="24">
      <c r="A24" s="20" t="n"/>
      <c r="B24" s="20" t="n"/>
      <c r="C24" s="21">
        <f>IF($I24="","",IF(N($I23)-$I24&lt;=0,"",N($I23)-$I24))</f>
        <v/>
      </c>
      <c r="D24" s="21">
        <f>IF($J24="","",IF(N($J23)-$J24&lt;=0,"",N($J23)-$J24))</f>
        <v/>
      </c>
      <c r="E24" s="21">
        <f>IF($K24="","",IF(N($K23)-$K24&lt;=0,"",N($K23)-$K24))</f>
        <v/>
      </c>
      <c r="F24" s="21">
        <f>IF($L24="","",IF(N($L23)-$L24&lt;=0,"",N($L23)-$L24))</f>
        <v/>
      </c>
      <c r="G24" s="21">
        <f>IF($M24="","",IF(N($M23)-$M24&lt;=0,"",N($M23)-$M24))</f>
        <v/>
      </c>
      <c r="H24" s="21">
        <f>IF($N24="","",IF(N($N23)-$N24&lt;=0,"",N($N23)-$N24))</f>
        <v/>
      </c>
      <c r="I24" s="23" t="n"/>
      <c r="J24" s="23" t="n"/>
      <c r="K24" s="23" t="n"/>
      <c r="L24" s="23" t="n"/>
      <c r="M24" s="23" t="n"/>
      <c r="N24" s="23" t="n"/>
    </row>
    <row r="25">
      <c r="A25" s="20" t="n"/>
      <c r="B25" s="20" t="n"/>
      <c r="C25" s="21">
        <f>IF($I25="","",IF(N($I24)-$I25&lt;=0,"",N($I24)-$I25))</f>
        <v/>
      </c>
      <c r="D25" s="21">
        <f>IF($J25="","",IF(N($J24)-$J25&lt;=0,"",N($J24)-$J25))</f>
        <v/>
      </c>
      <c r="E25" s="21">
        <f>IF($K25="","",IF(N($K24)-$K25&lt;=0,"",N($K24)-$K25))</f>
        <v/>
      </c>
      <c r="F25" s="21">
        <f>IF($L25="","",IF(N($L24)-$L25&lt;=0,"",N($L24)-$L25))</f>
        <v/>
      </c>
      <c r="G25" s="21">
        <f>IF($M25="","",IF(N($M24)-$M25&lt;=0,"",N($M24)-$M25))</f>
        <v/>
      </c>
      <c r="H25" s="21">
        <f>IF($N25="","",IF(N($N24)-$N25&lt;=0,"",N($N24)-$N25))</f>
        <v/>
      </c>
      <c r="I25" s="23" t="n"/>
      <c r="J25" s="23" t="n"/>
      <c r="K25" s="23" t="n"/>
      <c r="L25" s="23" t="n"/>
      <c r="M25" s="23" t="n"/>
      <c r="N25" s="23" t="n"/>
    </row>
    <row r="26">
      <c r="A26" s="20" t="n"/>
      <c r="B26" s="20" t="n"/>
      <c r="C26" s="21">
        <f>IF($I26="","",IF(N($I25)-$I26&lt;=0,"",N($I25)-$I26))</f>
        <v/>
      </c>
      <c r="D26" s="21">
        <f>IF($J26="","",IF(N($J25)-$J26&lt;=0,"",N($J25)-$J26))</f>
        <v/>
      </c>
      <c r="E26" s="21">
        <f>IF($K26="","",IF(N($K25)-$K26&lt;=0,"",N($K25)-$K26))</f>
        <v/>
      </c>
      <c r="F26" s="21">
        <f>IF($L26="","",IF(N($L25)-$L26&lt;=0,"",N($L25)-$L26))</f>
        <v/>
      </c>
      <c r="G26" s="21">
        <f>IF($M26="","",IF(N($M25)-$M26&lt;=0,"",N($M25)-$M26))</f>
        <v/>
      </c>
      <c r="H26" s="21">
        <f>IF($N26="","",IF(N($N25)-$N26&lt;=0,"",N($N25)-$N26))</f>
        <v/>
      </c>
      <c r="I26" s="23" t="n"/>
      <c r="J26" s="23" t="n"/>
      <c r="K26" s="23" t="n"/>
      <c r="L26" s="23" t="n"/>
      <c r="M26" s="23" t="n"/>
      <c r="N26" s="23" t="n"/>
    </row>
  </sheetData>
  <mergeCells count="2">
    <mergeCell ref="A3:N3"/>
    <mergeCell ref="A2:N2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N36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26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2">
      <c r="A2" s="15" t="inlineStr">
        <is>
          <t>HISTORIAL DE INVENTARIO — LOTE 33 MZA 14 (CABERNET · POR LLEGAR)</t>
        </is>
      </c>
    </row>
    <row r="3">
      <c r="A3" s="16" t="inlineStr">
        <is>
          <t>Salió = sale solo (saldo anterior − saldo del día) · Para registrar un día nuevo: escribe en el primer renglón en blanco (la tabla se extiende sola).</t>
        </is>
      </c>
    </row>
    <row r="5">
      <c r="A5" s="17" t="inlineStr">
        <is>
          <t>Fecha</t>
        </is>
      </c>
      <c r="B5" s="17" t="inlineStr">
        <is>
          <t>Pisero</t>
        </is>
      </c>
      <c r="C5" s="18" t="inlineStr">
        <is>
          <t>Salió Moret</t>
        </is>
      </c>
      <c r="D5" s="18" t="inlineStr">
        <is>
          <t>Salió Urbania</t>
        </is>
      </c>
      <c r="E5" s="18" t="inlineStr">
        <is>
          <t>Salió Malla</t>
        </is>
      </c>
      <c r="F5" s="18" t="inlineStr">
        <is>
          <t>Salió Duela</t>
        </is>
      </c>
      <c r="G5" s="18" t="inlineStr">
        <is>
          <t>Salió Pegavitro</t>
        </is>
      </c>
      <c r="H5" s="18" t="inlineStr">
        <is>
          <t>Salió Unicrest</t>
        </is>
      </c>
      <c r="I5" s="17" t="inlineStr">
        <is>
          <t>Piso Moret</t>
        </is>
      </c>
      <c r="J5" s="17" t="inlineStr">
        <is>
          <t>Urbania White</t>
        </is>
      </c>
      <c r="K5" s="17" t="inlineStr">
        <is>
          <t>Malla Lyndhurst</t>
        </is>
      </c>
      <c r="L5" s="17" t="inlineStr">
        <is>
          <t>Royal Walnut</t>
        </is>
      </c>
      <c r="M5" s="17" t="inlineStr">
        <is>
          <t>Pegavitro</t>
        </is>
      </c>
      <c r="N5" s="17" t="inlineStr">
        <is>
          <t>Unicrest</t>
        </is>
      </c>
    </row>
    <row r="6">
      <c r="A6" s="19" t="inlineStr">
        <is>
          <t>▶ Inicial (al llegar)</t>
        </is>
      </c>
      <c r="B6" s="20" t="inlineStr"/>
      <c r="C6" s="21" t="n"/>
      <c r="D6" s="21" t="n"/>
      <c r="E6" s="21" t="n"/>
      <c r="F6" s="21" t="n"/>
      <c r="G6" s="21" t="n"/>
      <c r="H6" s="21" t="n"/>
      <c r="I6" s="22" t="n">
        <v>117</v>
      </c>
      <c r="J6" s="22" t="n">
        <v>8</v>
      </c>
      <c r="K6" s="22" t="n">
        <v>28</v>
      </c>
      <c r="L6" s="22" t="n">
        <v>41</v>
      </c>
      <c r="M6" s="22" t="n">
        <v>93</v>
      </c>
      <c r="N6" s="22" t="n">
        <v>20</v>
      </c>
    </row>
    <row r="7">
      <c r="A7" s="20" t="n"/>
      <c r="B7" s="20" t="n"/>
      <c r="C7" s="21">
        <f>IF($I7="","",IF(N($I6)-$I7&lt;=0,"",N($I6)-$I7))</f>
        <v/>
      </c>
      <c r="D7" s="21">
        <f>IF($J7="","",IF(N($J6)-$J7&lt;=0,"",N($J6)-$J7))</f>
        <v/>
      </c>
      <c r="E7" s="21">
        <f>IF($K7="","",IF(N($K6)-$K7&lt;=0,"",N($K6)-$K7))</f>
        <v/>
      </c>
      <c r="F7" s="21">
        <f>IF($L7="","",IF(N($L6)-$L7&lt;=0,"",N($L6)-$L7))</f>
        <v/>
      </c>
      <c r="G7" s="21">
        <f>IF($M7="","",IF(N($M6)-$M7&lt;=0,"",N($M6)-$M7))</f>
        <v/>
      </c>
      <c r="H7" s="21">
        <f>IF($N7="","",IF(N($N6)-$N7&lt;=0,"",N($N6)-$N7))</f>
        <v/>
      </c>
      <c r="I7" s="23" t="n"/>
      <c r="J7" s="23" t="n"/>
      <c r="K7" s="23" t="n"/>
      <c r="L7" s="23" t="n"/>
      <c r="M7" s="23" t="n"/>
      <c r="N7" s="23" t="n"/>
    </row>
    <row r="8">
      <c r="A8" s="20" t="n"/>
      <c r="B8" s="20" t="n"/>
      <c r="C8" s="21">
        <f>IF($I8="","",IF(N($I7)-$I8&lt;=0,"",N($I7)-$I8))</f>
        <v/>
      </c>
      <c r="D8" s="21">
        <f>IF($J8="","",IF(N($J7)-$J8&lt;=0,"",N($J7)-$J8))</f>
        <v/>
      </c>
      <c r="E8" s="21">
        <f>IF($K8="","",IF(N($K7)-$K8&lt;=0,"",N($K7)-$K8))</f>
        <v/>
      </c>
      <c r="F8" s="21">
        <f>IF($L8="","",IF(N($L7)-$L8&lt;=0,"",N($L7)-$L8))</f>
        <v/>
      </c>
      <c r="G8" s="21">
        <f>IF($M8="","",IF(N($M7)-$M8&lt;=0,"",N($M7)-$M8))</f>
        <v/>
      </c>
      <c r="H8" s="21">
        <f>IF($N8="","",IF(N($N7)-$N8&lt;=0,"",N($N7)-$N8))</f>
        <v/>
      </c>
      <c r="I8" s="23" t="n"/>
      <c r="J8" s="23" t="n"/>
      <c r="K8" s="23" t="n"/>
      <c r="L8" s="23" t="n"/>
      <c r="M8" s="23" t="n"/>
      <c r="N8" s="23" t="n"/>
    </row>
    <row r="9">
      <c r="A9" s="20" t="n"/>
      <c r="B9" s="20" t="n"/>
      <c r="C9" s="21">
        <f>IF($I9="","",IF(N($I8)-$I9&lt;=0,"",N($I8)-$I9))</f>
        <v/>
      </c>
      <c r="D9" s="21">
        <f>IF($J9="","",IF(N($J8)-$J9&lt;=0,"",N($J8)-$J9))</f>
        <v/>
      </c>
      <c r="E9" s="21">
        <f>IF($K9="","",IF(N($K8)-$K9&lt;=0,"",N($K8)-$K9))</f>
        <v/>
      </c>
      <c r="F9" s="21">
        <f>IF($L9="","",IF(N($L8)-$L9&lt;=0,"",N($L8)-$L9))</f>
        <v/>
      </c>
      <c r="G9" s="21">
        <f>IF($M9="","",IF(N($M8)-$M9&lt;=0,"",N($M8)-$M9))</f>
        <v/>
      </c>
      <c r="H9" s="21">
        <f>IF($N9="","",IF(N($N8)-$N9&lt;=0,"",N($N8)-$N9))</f>
        <v/>
      </c>
      <c r="I9" s="23" t="n"/>
      <c r="J9" s="23" t="n"/>
      <c r="K9" s="23" t="n"/>
      <c r="L9" s="23" t="n"/>
      <c r="M9" s="23" t="n"/>
      <c r="N9" s="23" t="n"/>
    </row>
    <row r="10">
      <c r="A10" s="20" t="n"/>
      <c r="B10" s="20" t="n"/>
      <c r="C10" s="21">
        <f>IF($I10="","",IF(N($I9)-$I10&lt;=0,"",N($I9)-$I10))</f>
        <v/>
      </c>
      <c r="D10" s="21">
        <f>IF($J10="","",IF(N($J9)-$J10&lt;=0,"",N($J9)-$J10))</f>
        <v/>
      </c>
      <c r="E10" s="21">
        <f>IF($K10="","",IF(N($K9)-$K10&lt;=0,"",N($K9)-$K10))</f>
        <v/>
      </c>
      <c r="F10" s="21">
        <f>IF($L10="","",IF(N($L9)-$L10&lt;=0,"",N($L9)-$L10))</f>
        <v/>
      </c>
      <c r="G10" s="21">
        <f>IF($M10="","",IF(N($M9)-$M10&lt;=0,"",N($M9)-$M10))</f>
        <v/>
      </c>
      <c r="H10" s="21">
        <f>IF($N10="","",IF(N($N9)-$N10&lt;=0,"",N($N9)-$N10))</f>
        <v/>
      </c>
      <c r="I10" s="23" t="n"/>
      <c r="J10" s="23" t="n"/>
      <c r="K10" s="23" t="n"/>
      <c r="L10" s="23" t="n"/>
      <c r="M10" s="23" t="n"/>
      <c r="N10" s="23" t="n"/>
    </row>
    <row r="11">
      <c r="A11" s="20" t="n"/>
      <c r="B11" s="20" t="n"/>
      <c r="C11" s="21">
        <f>IF($I11="","",IF(N($I10)-$I11&lt;=0,"",N($I10)-$I11))</f>
        <v/>
      </c>
      <c r="D11" s="21">
        <f>IF($J11="","",IF(N($J10)-$J11&lt;=0,"",N($J10)-$J11))</f>
        <v/>
      </c>
      <c r="E11" s="21">
        <f>IF($K11="","",IF(N($K10)-$K11&lt;=0,"",N($K10)-$K11))</f>
        <v/>
      </c>
      <c r="F11" s="21">
        <f>IF($L11="","",IF(N($L10)-$L11&lt;=0,"",N($L10)-$L11))</f>
        <v/>
      </c>
      <c r="G11" s="21">
        <f>IF($M11="","",IF(N($M10)-$M11&lt;=0,"",N($M10)-$M11))</f>
        <v/>
      </c>
      <c r="H11" s="21">
        <f>IF($N11="","",IF(N($N10)-$N11&lt;=0,"",N($N10)-$N11))</f>
        <v/>
      </c>
      <c r="I11" s="23" t="n"/>
      <c r="J11" s="23" t="n"/>
      <c r="K11" s="23" t="n"/>
      <c r="L11" s="23" t="n"/>
      <c r="M11" s="23" t="n"/>
      <c r="N11" s="23" t="n"/>
    </row>
    <row r="12">
      <c r="A12" s="20" t="n"/>
      <c r="B12" s="20" t="n"/>
      <c r="C12" s="21">
        <f>IF($I12="","",IF(N($I11)-$I12&lt;=0,"",N($I11)-$I12))</f>
        <v/>
      </c>
      <c r="D12" s="21">
        <f>IF($J12="","",IF(N($J11)-$J12&lt;=0,"",N($J11)-$J12))</f>
        <v/>
      </c>
      <c r="E12" s="21">
        <f>IF($K12="","",IF(N($K11)-$K12&lt;=0,"",N($K11)-$K12))</f>
        <v/>
      </c>
      <c r="F12" s="21">
        <f>IF($L12="","",IF(N($L11)-$L12&lt;=0,"",N($L11)-$L12))</f>
        <v/>
      </c>
      <c r="G12" s="21">
        <f>IF($M12="","",IF(N($M11)-$M12&lt;=0,"",N($M11)-$M12))</f>
        <v/>
      </c>
      <c r="H12" s="21">
        <f>IF($N12="","",IF(N($N11)-$N12&lt;=0,"",N($N11)-$N12))</f>
        <v/>
      </c>
      <c r="I12" s="23" t="n"/>
      <c r="J12" s="23" t="n"/>
      <c r="K12" s="23" t="n"/>
      <c r="L12" s="23" t="n"/>
      <c r="M12" s="23" t="n"/>
      <c r="N12" s="23" t="n"/>
    </row>
    <row r="13">
      <c r="A13" s="20" t="n"/>
      <c r="B13" s="20" t="n"/>
      <c r="C13" s="21">
        <f>IF($I13="","",IF(N($I12)-$I13&lt;=0,"",N($I12)-$I13))</f>
        <v/>
      </c>
      <c r="D13" s="21">
        <f>IF($J13="","",IF(N($J12)-$J13&lt;=0,"",N($J12)-$J13))</f>
        <v/>
      </c>
      <c r="E13" s="21">
        <f>IF($K13="","",IF(N($K12)-$K13&lt;=0,"",N($K12)-$K13))</f>
        <v/>
      </c>
      <c r="F13" s="21">
        <f>IF($L13="","",IF(N($L12)-$L13&lt;=0,"",N($L12)-$L13))</f>
        <v/>
      </c>
      <c r="G13" s="21">
        <f>IF($M13="","",IF(N($M12)-$M13&lt;=0,"",N($M12)-$M13))</f>
        <v/>
      </c>
      <c r="H13" s="21">
        <f>IF($N13="","",IF(N($N12)-$N13&lt;=0,"",N($N12)-$N13))</f>
        <v/>
      </c>
      <c r="I13" s="23" t="n"/>
      <c r="J13" s="23" t="n"/>
      <c r="K13" s="23" t="n"/>
      <c r="L13" s="23" t="n"/>
      <c r="M13" s="23" t="n"/>
      <c r="N13" s="23" t="n"/>
    </row>
    <row r="14">
      <c r="A14" s="20" t="n"/>
      <c r="B14" s="20" t="n"/>
      <c r="C14" s="21">
        <f>IF($I14="","",IF(N($I13)-$I14&lt;=0,"",N($I13)-$I14))</f>
        <v/>
      </c>
      <c r="D14" s="21">
        <f>IF($J14="","",IF(N($J13)-$J14&lt;=0,"",N($J13)-$J14))</f>
        <v/>
      </c>
      <c r="E14" s="21">
        <f>IF($K14="","",IF(N($K13)-$K14&lt;=0,"",N($K13)-$K14))</f>
        <v/>
      </c>
      <c r="F14" s="21">
        <f>IF($L14="","",IF(N($L13)-$L14&lt;=0,"",N($L13)-$L14))</f>
        <v/>
      </c>
      <c r="G14" s="21">
        <f>IF($M14="","",IF(N($M13)-$M14&lt;=0,"",N($M13)-$M14))</f>
        <v/>
      </c>
      <c r="H14" s="21">
        <f>IF($N14="","",IF(N($N13)-$N14&lt;=0,"",N($N13)-$N14))</f>
        <v/>
      </c>
      <c r="I14" s="23" t="n"/>
      <c r="J14" s="23" t="n"/>
      <c r="K14" s="23" t="n"/>
      <c r="L14" s="23" t="n"/>
      <c r="M14" s="23" t="n"/>
      <c r="N14" s="23" t="n"/>
    </row>
    <row r="15">
      <c r="A15" s="20" t="n"/>
      <c r="B15" s="20" t="n"/>
      <c r="C15" s="21">
        <f>IF($I15="","",IF(N($I14)-$I15&lt;=0,"",N($I14)-$I15))</f>
        <v/>
      </c>
      <c r="D15" s="21">
        <f>IF($J15="","",IF(N($J14)-$J15&lt;=0,"",N($J14)-$J15))</f>
        <v/>
      </c>
      <c r="E15" s="21">
        <f>IF($K15="","",IF(N($K14)-$K15&lt;=0,"",N($K14)-$K15))</f>
        <v/>
      </c>
      <c r="F15" s="21">
        <f>IF($L15="","",IF(N($L14)-$L15&lt;=0,"",N($L14)-$L15))</f>
        <v/>
      </c>
      <c r="G15" s="21">
        <f>IF($M15="","",IF(N($M14)-$M15&lt;=0,"",N($M14)-$M15))</f>
        <v/>
      </c>
      <c r="H15" s="21">
        <f>IF($N15="","",IF(N($N14)-$N15&lt;=0,"",N($N14)-$N15))</f>
        <v/>
      </c>
      <c r="I15" s="23" t="n"/>
      <c r="J15" s="23" t="n"/>
      <c r="K15" s="23" t="n"/>
      <c r="L15" s="23" t="n"/>
      <c r="M15" s="23" t="n"/>
      <c r="N15" s="23" t="n"/>
    </row>
    <row r="16">
      <c r="A16" s="20" t="n"/>
      <c r="B16" s="20" t="n"/>
      <c r="C16" s="21">
        <f>IF($I16="","",IF(N($I15)-$I16&lt;=0,"",N($I15)-$I16))</f>
        <v/>
      </c>
      <c r="D16" s="21">
        <f>IF($J16="","",IF(N($J15)-$J16&lt;=0,"",N($J15)-$J16))</f>
        <v/>
      </c>
      <c r="E16" s="21">
        <f>IF($K16="","",IF(N($K15)-$K16&lt;=0,"",N($K15)-$K16))</f>
        <v/>
      </c>
      <c r="F16" s="21">
        <f>IF($L16="","",IF(N($L15)-$L16&lt;=0,"",N($L15)-$L16))</f>
        <v/>
      </c>
      <c r="G16" s="21">
        <f>IF($M16="","",IF(N($M15)-$M16&lt;=0,"",N($M15)-$M16))</f>
        <v/>
      </c>
      <c r="H16" s="21">
        <f>IF($N16="","",IF(N($N15)-$N16&lt;=0,"",N($N15)-$N16))</f>
        <v/>
      </c>
      <c r="I16" s="23" t="n"/>
      <c r="J16" s="23" t="n"/>
      <c r="K16" s="23" t="n"/>
      <c r="L16" s="23" t="n"/>
      <c r="M16" s="23" t="n"/>
      <c r="N16" s="23" t="n"/>
    </row>
    <row r="17">
      <c r="A17" s="20" t="n"/>
      <c r="B17" s="20" t="n"/>
      <c r="C17" s="21">
        <f>IF($I17="","",IF(N($I16)-$I17&lt;=0,"",N($I16)-$I17))</f>
        <v/>
      </c>
      <c r="D17" s="21">
        <f>IF($J17="","",IF(N($J16)-$J17&lt;=0,"",N($J16)-$J17))</f>
        <v/>
      </c>
      <c r="E17" s="21">
        <f>IF($K17="","",IF(N($K16)-$K17&lt;=0,"",N($K16)-$K17))</f>
        <v/>
      </c>
      <c r="F17" s="21">
        <f>IF($L17="","",IF(N($L16)-$L17&lt;=0,"",N($L16)-$L17))</f>
        <v/>
      </c>
      <c r="G17" s="21">
        <f>IF($M17="","",IF(N($M16)-$M17&lt;=0,"",N($M16)-$M17))</f>
        <v/>
      </c>
      <c r="H17" s="21">
        <f>IF($N17="","",IF(N($N16)-$N17&lt;=0,"",N($N16)-$N17))</f>
        <v/>
      </c>
      <c r="I17" s="23" t="n"/>
      <c r="J17" s="23" t="n"/>
      <c r="K17" s="23" t="n"/>
      <c r="L17" s="23" t="n"/>
      <c r="M17" s="23" t="n"/>
      <c r="N17" s="23" t="n"/>
    </row>
    <row r="18">
      <c r="A18" s="20" t="n"/>
      <c r="B18" s="20" t="n"/>
      <c r="C18" s="21">
        <f>IF($I18="","",IF(N($I17)-$I18&lt;=0,"",N($I17)-$I18))</f>
        <v/>
      </c>
      <c r="D18" s="21">
        <f>IF($J18="","",IF(N($J17)-$J18&lt;=0,"",N($J17)-$J18))</f>
        <v/>
      </c>
      <c r="E18" s="21">
        <f>IF($K18="","",IF(N($K17)-$K18&lt;=0,"",N($K17)-$K18))</f>
        <v/>
      </c>
      <c r="F18" s="21">
        <f>IF($L18="","",IF(N($L17)-$L18&lt;=0,"",N($L17)-$L18))</f>
        <v/>
      </c>
      <c r="G18" s="21">
        <f>IF($M18="","",IF(N($M17)-$M18&lt;=0,"",N($M17)-$M18))</f>
        <v/>
      </c>
      <c r="H18" s="21">
        <f>IF($N18="","",IF(N($N17)-$N18&lt;=0,"",N($N17)-$N18))</f>
        <v/>
      </c>
      <c r="I18" s="23" t="n"/>
      <c r="J18" s="23" t="n"/>
      <c r="K18" s="23" t="n"/>
      <c r="L18" s="23" t="n"/>
      <c r="M18" s="23" t="n"/>
      <c r="N18" s="23" t="n"/>
    </row>
    <row r="19">
      <c r="A19" s="20" t="n"/>
      <c r="B19" s="20" t="n"/>
      <c r="C19" s="21">
        <f>IF($I19="","",IF(N($I18)-$I19&lt;=0,"",N($I18)-$I19))</f>
        <v/>
      </c>
      <c r="D19" s="21">
        <f>IF($J19="","",IF(N($J18)-$J19&lt;=0,"",N($J18)-$J19))</f>
        <v/>
      </c>
      <c r="E19" s="21">
        <f>IF($K19="","",IF(N($K18)-$K19&lt;=0,"",N($K18)-$K19))</f>
        <v/>
      </c>
      <c r="F19" s="21">
        <f>IF($L19="","",IF(N($L18)-$L19&lt;=0,"",N($L18)-$L19))</f>
        <v/>
      </c>
      <c r="G19" s="21">
        <f>IF($M19="","",IF(N($M18)-$M19&lt;=0,"",N($M18)-$M19))</f>
        <v/>
      </c>
      <c r="H19" s="21">
        <f>IF($N19="","",IF(N($N18)-$N19&lt;=0,"",N($N18)-$N19))</f>
        <v/>
      </c>
      <c r="I19" s="23" t="n"/>
      <c r="J19" s="23" t="n"/>
      <c r="K19" s="23" t="n"/>
      <c r="L19" s="23" t="n"/>
      <c r="M19" s="23" t="n"/>
      <c r="N19" s="23" t="n"/>
    </row>
    <row r="20">
      <c r="A20" s="20" t="n"/>
      <c r="B20" s="20" t="n"/>
      <c r="C20" s="21">
        <f>IF($I20="","",IF(N($I19)-$I20&lt;=0,"",N($I19)-$I20))</f>
        <v/>
      </c>
      <c r="D20" s="21">
        <f>IF($J20="","",IF(N($J19)-$J20&lt;=0,"",N($J19)-$J20))</f>
        <v/>
      </c>
      <c r="E20" s="21">
        <f>IF($K20="","",IF(N($K19)-$K20&lt;=0,"",N($K19)-$K20))</f>
        <v/>
      </c>
      <c r="F20" s="21">
        <f>IF($L20="","",IF(N($L19)-$L20&lt;=0,"",N($L19)-$L20))</f>
        <v/>
      </c>
      <c r="G20" s="21">
        <f>IF($M20="","",IF(N($M19)-$M20&lt;=0,"",N($M19)-$M20))</f>
        <v/>
      </c>
      <c r="H20" s="21">
        <f>IF($N20="","",IF(N($N19)-$N20&lt;=0,"",N($N19)-$N20))</f>
        <v/>
      </c>
      <c r="I20" s="23" t="n"/>
      <c r="J20" s="23" t="n"/>
      <c r="K20" s="23" t="n"/>
      <c r="L20" s="23" t="n"/>
      <c r="M20" s="23" t="n"/>
      <c r="N20" s="23" t="n"/>
    </row>
    <row r="21">
      <c r="A21" s="20" t="n"/>
      <c r="B21" s="20" t="n"/>
      <c r="C21" s="21">
        <f>IF($I21="","",IF(N($I20)-$I21&lt;=0,"",N($I20)-$I21))</f>
        <v/>
      </c>
      <c r="D21" s="21">
        <f>IF($J21="","",IF(N($J20)-$J21&lt;=0,"",N($J20)-$J21))</f>
        <v/>
      </c>
      <c r="E21" s="21">
        <f>IF($K21="","",IF(N($K20)-$K21&lt;=0,"",N($K20)-$K21))</f>
        <v/>
      </c>
      <c r="F21" s="21">
        <f>IF($L21="","",IF(N($L20)-$L21&lt;=0,"",N($L20)-$L21))</f>
        <v/>
      </c>
      <c r="G21" s="21">
        <f>IF($M21="","",IF(N($M20)-$M21&lt;=0,"",N($M20)-$M21))</f>
        <v/>
      </c>
      <c r="H21" s="21">
        <f>IF($N21="","",IF(N($N20)-$N21&lt;=0,"",N($N20)-$N21))</f>
        <v/>
      </c>
      <c r="I21" s="23" t="n"/>
      <c r="J21" s="23" t="n"/>
      <c r="K21" s="23" t="n"/>
      <c r="L21" s="23" t="n"/>
      <c r="M21" s="23" t="n"/>
      <c r="N21" s="23" t="n"/>
    </row>
    <row r="22">
      <c r="A22" s="20" t="n"/>
      <c r="B22" s="20" t="n"/>
      <c r="C22" s="21">
        <f>IF($I22="","",IF(N($I21)-$I22&lt;=0,"",N($I21)-$I22))</f>
        <v/>
      </c>
      <c r="D22" s="21">
        <f>IF($J22="","",IF(N($J21)-$J22&lt;=0,"",N($J21)-$J22))</f>
        <v/>
      </c>
      <c r="E22" s="21">
        <f>IF($K22="","",IF(N($K21)-$K22&lt;=0,"",N($K21)-$K22))</f>
        <v/>
      </c>
      <c r="F22" s="21">
        <f>IF($L22="","",IF(N($L21)-$L22&lt;=0,"",N($L21)-$L22))</f>
        <v/>
      </c>
      <c r="G22" s="21">
        <f>IF($M22="","",IF(N($M21)-$M22&lt;=0,"",N($M21)-$M22))</f>
        <v/>
      </c>
      <c r="H22" s="21">
        <f>IF($N22="","",IF(N($N21)-$N22&lt;=0,"",N($N21)-$N22))</f>
        <v/>
      </c>
      <c r="I22" s="23" t="n"/>
      <c r="J22" s="23" t="n"/>
      <c r="K22" s="23" t="n"/>
      <c r="L22" s="23" t="n"/>
      <c r="M22" s="23" t="n"/>
      <c r="N22" s="23" t="n"/>
    </row>
    <row r="23">
      <c r="A23" s="20" t="n"/>
      <c r="B23" s="20" t="n"/>
      <c r="C23" s="21">
        <f>IF($I23="","",IF(N($I22)-$I23&lt;=0,"",N($I22)-$I23))</f>
        <v/>
      </c>
      <c r="D23" s="21">
        <f>IF($J23="","",IF(N($J22)-$J23&lt;=0,"",N($J22)-$J23))</f>
        <v/>
      </c>
      <c r="E23" s="21">
        <f>IF($K23="","",IF(N($K22)-$K23&lt;=0,"",N($K22)-$K23))</f>
        <v/>
      </c>
      <c r="F23" s="21">
        <f>IF($L23="","",IF(N($L22)-$L23&lt;=0,"",N($L22)-$L23))</f>
        <v/>
      </c>
      <c r="G23" s="21">
        <f>IF($M23="","",IF(N($M22)-$M23&lt;=0,"",N($M22)-$M23))</f>
        <v/>
      </c>
      <c r="H23" s="21">
        <f>IF($N23="","",IF(N($N22)-$N23&lt;=0,"",N($N22)-$N23))</f>
        <v/>
      </c>
      <c r="I23" s="23" t="n"/>
      <c r="J23" s="23" t="n"/>
      <c r="K23" s="23" t="n"/>
      <c r="L23" s="23" t="n"/>
      <c r="M23" s="23" t="n"/>
      <c r="N23" s="23" t="n"/>
    </row>
    <row r="24">
      <c r="A24" s="20" t="n"/>
      <c r="B24" s="20" t="n"/>
      <c r="C24" s="21">
        <f>IF($I24="","",IF(N($I23)-$I24&lt;=0,"",N($I23)-$I24))</f>
        <v/>
      </c>
      <c r="D24" s="21">
        <f>IF($J24="","",IF(N($J23)-$J24&lt;=0,"",N($J23)-$J24))</f>
        <v/>
      </c>
      <c r="E24" s="21">
        <f>IF($K24="","",IF(N($K23)-$K24&lt;=0,"",N($K23)-$K24))</f>
        <v/>
      </c>
      <c r="F24" s="21">
        <f>IF($L24="","",IF(N($L23)-$L24&lt;=0,"",N($L23)-$L24))</f>
        <v/>
      </c>
      <c r="G24" s="21">
        <f>IF($M24="","",IF(N($M23)-$M24&lt;=0,"",N($M23)-$M24))</f>
        <v/>
      </c>
      <c r="H24" s="21">
        <f>IF($N24="","",IF(N($N23)-$N24&lt;=0,"",N($N23)-$N24))</f>
        <v/>
      </c>
      <c r="I24" s="23" t="n"/>
      <c r="J24" s="23" t="n"/>
      <c r="K24" s="23" t="n"/>
      <c r="L24" s="23" t="n"/>
      <c r="M24" s="23" t="n"/>
      <c r="N24" s="23" t="n"/>
    </row>
    <row r="25">
      <c r="A25" s="20" t="n"/>
      <c r="B25" s="20" t="n"/>
      <c r="C25" s="21">
        <f>IF($I25="","",IF(N($I24)-$I25&lt;=0,"",N($I24)-$I25))</f>
        <v/>
      </c>
      <c r="D25" s="21">
        <f>IF($J25="","",IF(N($J24)-$J25&lt;=0,"",N($J24)-$J25))</f>
        <v/>
      </c>
      <c r="E25" s="21">
        <f>IF($K25="","",IF(N($K24)-$K25&lt;=0,"",N($K24)-$K25))</f>
        <v/>
      </c>
      <c r="F25" s="21">
        <f>IF($L25="","",IF(N($L24)-$L25&lt;=0,"",N($L24)-$L25))</f>
        <v/>
      </c>
      <c r="G25" s="21">
        <f>IF($M25="","",IF(N($M24)-$M25&lt;=0,"",N($M24)-$M25))</f>
        <v/>
      </c>
      <c r="H25" s="21">
        <f>IF($N25="","",IF(N($N24)-$N25&lt;=0,"",N($N24)-$N25))</f>
        <v/>
      </c>
      <c r="I25" s="23" t="n"/>
      <c r="J25" s="23" t="n"/>
      <c r="K25" s="23" t="n"/>
      <c r="L25" s="23" t="n"/>
      <c r="M25" s="23" t="n"/>
      <c r="N25" s="23" t="n"/>
    </row>
    <row r="26">
      <c r="A26" s="20" t="n"/>
      <c r="B26" s="20" t="n"/>
      <c r="C26" s="21">
        <f>IF($I26="","",IF(N($I25)-$I26&lt;=0,"",N($I25)-$I26))</f>
        <v/>
      </c>
      <c r="D26" s="21">
        <f>IF($J26="","",IF(N($J25)-$J26&lt;=0,"",N($J25)-$J26))</f>
        <v/>
      </c>
      <c r="E26" s="21">
        <f>IF($K26="","",IF(N($K25)-$K26&lt;=0,"",N($K25)-$K26))</f>
        <v/>
      </c>
      <c r="F26" s="21">
        <f>IF($L26="","",IF(N($L25)-$L26&lt;=0,"",N($L25)-$L26))</f>
        <v/>
      </c>
      <c r="G26" s="21">
        <f>IF($M26="","",IF(N($M25)-$M26&lt;=0,"",N($M25)-$M26))</f>
        <v/>
      </c>
      <c r="H26" s="21">
        <f>IF($N26="","",IF(N($N25)-$N26&lt;=0,"",N($N25)-$N26))</f>
        <v/>
      </c>
      <c r="I26" s="23" t="n"/>
      <c r="J26" s="23" t="n"/>
      <c r="K26" s="23" t="n"/>
      <c r="L26" s="23" t="n"/>
      <c r="M26" s="23" t="n"/>
      <c r="N26" s="23" t="n"/>
    </row>
    <row r="27">
      <c r="A27" s="20" t="n"/>
      <c r="B27" s="20" t="n"/>
      <c r="C27" s="21">
        <f>IF($I27="","",IF(N($I26)-$I27&lt;=0,"",N($I26)-$I27))</f>
        <v/>
      </c>
      <c r="D27" s="21">
        <f>IF($J27="","",IF(N($J26)-$J27&lt;=0,"",N($J26)-$J27))</f>
        <v/>
      </c>
      <c r="E27" s="21">
        <f>IF($K27="","",IF(N($K26)-$K27&lt;=0,"",N($K26)-$K27))</f>
        <v/>
      </c>
      <c r="F27" s="21">
        <f>IF($L27="","",IF(N($L26)-$L27&lt;=0,"",N($L26)-$L27))</f>
        <v/>
      </c>
      <c r="G27" s="21">
        <f>IF($M27="","",IF(N($M26)-$M27&lt;=0,"",N($M26)-$M27))</f>
        <v/>
      </c>
      <c r="H27" s="21">
        <f>IF($N27="","",IF(N($N26)-$N27&lt;=0,"",N($N26)-$N27))</f>
        <v/>
      </c>
      <c r="I27" s="23" t="n"/>
      <c r="J27" s="23" t="n"/>
      <c r="K27" s="23" t="n"/>
      <c r="L27" s="23" t="n"/>
      <c r="M27" s="23" t="n"/>
      <c r="N27" s="23" t="n"/>
    </row>
    <row r="28">
      <c r="A28" s="20" t="n"/>
      <c r="B28" s="20" t="n"/>
      <c r="C28" s="21">
        <f>IF($I28="","",IF(N($I27)-$I28&lt;=0,"",N($I27)-$I28))</f>
        <v/>
      </c>
      <c r="D28" s="21">
        <f>IF($J28="","",IF(N($J27)-$J28&lt;=0,"",N($J27)-$J28))</f>
        <v/>
      </c>
      <c r="E28" s="21">
        <f>IF($K28="","",IF(N($K27)-$K28&lt;=0,"",N($K27)-$K28))</f>
        <v/>
      </c>
      <c r="F28" s="21">
        <f>IF($L28="","",IF(N($L27)-$L28&lt;=0,"",N($L27)-$L28))</f>
        <v/>
      </c>
      <c r="G28" s="21">
        <f>IF($M28="","",IF(N($M27)-$M28&lt;=0,"",N($M27)-$M28))</f>
        <v/>
      </c>
      <c r="H28" s="21">
        <f>IF($N28="","",IF(N($N27)-$N28&lt;=0,"",N($N27)-$N28))</f>
        <v/>
      </c>
      <c r="I28" s="23" t="n"/>
      <c r="J28" s="23" t="n"/>
      <c r="K28" s="23" t="n"/>
      <c r="L28" s="23" t="n"/>
      <c r="M28" s="23" t="n"/>
      <c r="N28" s="23" t="n"/>
    </row>
    <row r="29">
      <c r="A29" s="20" t="n"/>
      <c r="B29" s="20" t="n"/>
      <c r="C29" s="21">
        <f>IF($I29="","",IF(N($I28)-$I29&lt;=0,"",N($I28)-$I29))</f>
        <v/>
      </c>
      <c r="D29" s="21">
        <f>IF($J29="","",IF(N($J28)-$J29&lt;=0,"",N($J28)-$J29))</f>
        <v/>
      </c>
      <c r="E29" s="21">
        <f>IF($K29="","",IF(N($K28)-$K29&lt;=0,"",N($K28)-$K29))</f>
        <v/>
      </c>
      <c r="F29" s="21">
        <f>IF($L29="","",IF(N($L28)-$L29&lt;=0,"",N($L28)-$L29))</f>
        <v/>
      </c>
      <c r="G29" s="21">
        <f>IF($M29="","",IF(N($M28)-$M29&lt;=0,"",N($M28)-$M29))</f>
        <v/>
      </c>
      <c r="H29" s="21">
        <f>IF($N29="","",IF(N($N28)-$N29&lt;=0,"",N($N28)-$N29))</f>
        <v/>
      </c>
      <c r="I29" s="23" t="n"/>
      <c r="J29" s="23" t="n"/>
      <c r="K29" s="23" t="n"/>
      <c r="L29" s="23" t="n"/>
      <c r="M29" s="23" t="n"/>
      <c r="N29" s="23" t="n"/>
    </row>
    <row r="30">
      <c r="A30" s="20" t="n"/>
      <c r="B30" s="20" t="n"/>
      <c r="C30" s="21">
        <f>IF($I30="","",IF(N($I29)-$I30&lt;=0,"",N($I29)-$I30))</f>
        <v/>
      </c>
      <c r="D30" s="21">
        <f>IF($J30="","",IF(N($J29)-$J30&lt;=0,"",N($J29)-$J30))</f>
        <v/>
      </c>
      <c r="E30" s="21">
        <f>IF($K30="","",IF(N($K29)-$K30&lt;=0,"",N($K29)-$K30))</f>
        <v/>
      </c>
      <c r="F30" s="21">
        <f>IF($L30="","",IF(N($L29)-$L30&lt;=0,"",N($L29)-$L30))</f>
        <v/>
      </c>
      <c r="G30" s="21">
        <f>IF($M30="","",IF(N($M29)-$M30&lt;=0,"",N($M29)-$M30))</f>
        <v/>
      </c>
      <c r="H30" s="21">
        <f>IF($N30="","",IF(N($N29)-$N30&lt;=0,"",N($N29)-$N30))</f>
        <v/>
      </c>
      <c r="I30" s="23" t="n"/>
      <c r="J30" s="23" t="n"/>
      <c r="K30" s="23" t="n"/>
      <c r="L30" s="23" t="n"/>
      <c r="M30" s="23" t="n"/>
      <c r="N30" s="23" t="n"/>
    </row>
    <row r="31">
      <c r="A31" s="20" t="n"/>
      <c r="B31" s="20" t="n"/>
      <c r="C31" s="21">
        <f>IF($I31="","",IF(N($I30)-$I31&lt;=0,"",N($I30)-$I31))</f>
        <v/>
      </c>
      <c r="D31" s="21">
        <f>IF($J31="","",IF(N($J30)-$J31&lt;=0,"",N($J30)-$J31))</f>
        <v/>
      </c>
      <c r="E31" s="21">
        <f>IF($K31="","",IF(N($K30)-$K31&lt;=0,"",N($K30)-$K31))</f>
        <v/>
      </c>
      <c r="F31" s="21">
        <f>IF($L31="","",IF(N($L30)-$L31&lt;=0,"",N($L30)-$L31))</f>
        <v/>
      </c>
      <c r="G31" s="21">
        <f>IF($M31="","",IF(N($M30)-$M31&lt;=0,"",N($M30)-$M31))</f>
        <v/>
      </c>
      <c r="H31" s="21">
        <f>IF($N31="","",IF(N($N30)-$N31&lt;=0,"",N($N30)-$N31))</f>
        <v/>
      </c>
      <c r="I31" s="23" t="n"/>
      <c r="J31" s="23" t="n"/>
      <c r="K31" s="23" t="n"/>
      <c r="L31" s="23" t="n"/>
      <c r="M31" s="23" t="n"/>
      <c r="N31" s="23" t="n"/>
    </row>
    <row r="32">
      <c r="A32" s="20" t="n"/>
      <c r="B32" s="20" t="n"/>
      <c r="C32" s="21">
        <f>IF($I32="","",IF(N($I31)-$I32&lt;=0,"",N($I31)-$I32))</f>
        <v/>
      </c>
      <c r="D32" s="21">
        <f>IF($J32="","",IF(N($J31)-$J32&lt;=0,"",N($J31)-$J32))</f>
        <v/>
      </c>
      <c r="E32" s="21">
        <f>IF($K32="","",IF(N($K31)-$K32&lt;=0,"",N($K31)-$K32))</f>
        <v/>
      </c>
      <c r="F32" s="21">
        <f>IF($L32="","",IF(N($L31)-$L32&lt;=0,"",N($L31)-$L32))</f>
        <v/>
      </c>
      <c r="G32" s="21">
        <f>IF($M32="","",IF(N($M31)-$M32&lt;=0,"",N($M31)-$M32))</f>
        <v/>
      </c>
      <c r="H32" s="21">
        <f>IF($N32="","",IF(N($N31)-$N32&lt;=0,"",N($N31)-$N32))</f>
        <v/>
      </c>
      <c r="I32" s="23" t="n"/>
      <c r="J32" s="23" t="n"/>
      <c r="K32" s="23" t="n"/>
      <c r="L32" s="23" t="n"/>
      <c r="M32" s="23" t="n"/>
      <c r="N32" s="23" t="n"/>
    </row>
    <row r="33">
      <c r="A33" s="20" t="n"/>
      <c r="B33" s="20" t="n"/>
      <c r="C33" s="21">
        <f>IF($I33="","",IF(N($I32)-$I33&lt;=0,"",N($I32)-$I33))</f>
        <v/>
      </c>
      <c r="D33" s="21">
        <f>IF($J33="","",IF(N($J32)-$J33&lt;=0,"",N($J32)-$J33))</f>
        <v/>
      </c>
      <c r="E33" s="21">
        <f>IF($K33="","",IF(N($K32)-$K33&lt;=0,"",N($K32)-$K33))</f>
        <v/>
      </c>
      <c r="F33" s="21">
        <f>IF($L33="","",IF(N($L32)-$L33&lt;=0,"",N($L32)-$L33))</f>
        <v/>
      </c>
      <c r="G33" s="21">
        <f>IF($M33="","",IF(N($M32)-$M33&lt;=0,"",N($M32)-$M33))</f>
        <v/>
      </c>
      <c r="H33" s="21">
        <f>IF($N33="","",IF(N($N32)-$N33&lt;=0,"",N($N32)-$N33))</f>
        <v/>
      </c>
      <c r="I33" s="23" t="n"/>
      <c r="J33" s="23" t="n"/>
      <c r="K33" s="23" t="n"/>
      <c r="L33" s="23" t="n"/>
      <c r="M33" s="23" t="n"/>
      <c r="N33" s="23" t="n"/>
    </row>
    <row r="34">
      <c r="A34" s="20" t="n"/>
      <c r="B34" s="20" t="n"/>
      <c r="C34" s="21">
        <f>IF($I34="","",IF(N($I33)-$I34&lt;=0,"",N($I33)-$I34))</f>
        <v/>
      </c>
      <c r="D34" s="21">
        <f>IF($J34="","",IF(N($J33)-$J34&lt;=0,"",N($J33)-$J34))</f>
        <v/>
      </c>
      <c r="E34" s="21">
        <f>IF($K34="","",IF(N($K33)-$K34&lt;=0,"",N($K33)-$K34))</f>
        <v/>
      </c>
      <c r="F34" s="21">
        <f>IF($L34="","",IF(N($L33)-$L34&lt;=0,"",N($L33)-$L34))</f>
        <v/>
      </c>
      <c r="G34" s="21">
        <f>IF($M34="","",IF(N($M33)-$M34&lt;=0,"",N($M33)-$M34))</f>
        <v/>
      </c>
      <c r="H34" s="21">
        <f>IF($N34="","",IF(N($N33)-$N34&lt;=0,"",N($N33)-$N34))</f>
        <v/>
      </c>
      <c r="I34" s="23" t="n"/>
      <c r="J34" s="23" t="n"/>
      <c r="K34" s="23" t="n"/>
      <c r="L34" s="23" t="n"/>
      <c r="M34" s="23" t="n"/>
      <c r="N34" s="23" t="n"/>
    </row>
    <row r="35">
      <c r="A35" s="20" t="n"/>
      <c r="B35" s="20" t="n"/>
      <c r="C35" s="21">
        <f>IF($I35="","",IF(N($I34)-$I35&lt;=0,"",N($I34)-$I35))</f>
        <v/>
      </c>
      <c r="D35" s="21">
        <f>IF($J35="","",IF(N($J34)-$J35&lt;=0,"",N($J34)-$J35))</f>
        <v/>
      </c>
      <c r="E35" s="21">
        <f>IF($K35="","",IF(N($K34)-$K35&lt;=0,"",N($K34)-$K35))</f>
        <v/>
      </c>
      <c r="F35" s="21">
        <f>IF($L35="","",IF(N($L34)-$L35&lt;=0,"",N($L34)-$L35))</f>
        <v/>
      </c>
      <c r="G35" s="21">
        <f>IF($M35="","",IF(N($M34)-$M35&lt;=0,"",N($M34)-$M35))</f>
        <v/>
      </c>
      <c r="H35" s="21">
        <f>IF($N35="","",IF(N($N34)-$N35&lt;=0,"",N($N34)-$N35))</f>
        <v/>
      </c>
      <c r="I35" s="23" t="n"/>
      <c r="J35" s="23" t="n"/>
      <c r="K35" s="23" t="n"/>
      <c r="L35" s="23" t="n"/>
      <c r="M35" s="23" t="n"/>
      <c r="N35" s="23" t="n"/>
    </row>
    <row r="36">
      <c r="A36" s="20" t="n"/>
      <c r="B36" s="20" t="n"/>
      <c r="C36" s="21">
        <f>IF($I36="","",IF(N($I35)-$I36&lt;=0,"",N($I35)-$I36))</f>
        <v/>
      </c>
      <c r="D36" s="21">
        <f>IF($J36="","",IF(N($J35)-$J36&lt;=0,"",N($J35)-$J36))</f>
        <v/>
      </c>
      <c r="E36" s="21">
        <f>IF($K36="","",IF(N($K35)-$K36&lt;=0,"",N($K35)-$K36))</f>
        <v/>
      </c>
      <c r="F36" s="21">
        <f>IF($L36="","",IF(N($L35)-$L36&lt;=0,"",N($L35)-$L36))</f>
        <v/>
      </c>
      <c r="G36" s="21">
        <f>IF($M36="","",IF(N($M35)-$M36&lt;=0,"",N($M35)-$M36))</f>
        <v/>
      </c>
      <c r="H36" s="21">
        <f>IF($N36="","",IF(N($N35)-$N36&lt;=0,"",N($N35)-$N36))</f>
        <v/>
      </c>
      <c r="I36" s="23" t="n"/>
      <c r="J36" s="23" t="n"/>
      <c r="K36" s="23" t="n"/>
      <c r="L36" s="23" t="n"/>
      <c r="M36" s="23" t="n"/>
      <c r="N36" s="23" t="n"/>
    </row>
  </sheetData>
  <mergeCells count="2">
    <mergeCell ref="A3:N3"/>
    <mergeCell ref="A2:N2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2:N36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26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2">
      <c r="A2" s="15" t="inlineStr">
        <is>
          <t>HISTORIAL DE INVENTARIO — LOTE 19 MZA 7 (CHARDONNAY · POR LLEGAR)</t>
        </is>
      </c>
    </row>
    <row r="3">
      <c r="A3" s="16" t="inlineStr">
        <is>
          <t>Salió = sale solo (saldo anterior − saldo del día) · Para registrar un día nuevo: escribe en el primer renglón en blanco (la tabla se extiende sola).</t>
        </is>
      </c>
    </row>
    <row r="5">
      <c r="A5" s="17" t="inlineStr">
        <is>
          <t>Fecha</t>
        </is>
      </c>
      <c r="B5" s="17" t="inlineStr">
        <is>
          <t>Pisero</t>
        </is>
      </c>
      <c r="C5" s="18" t="inlineStr">
        <is>
          <t>Salió Moret</t>
        </is>
      </c>
      <c r="D5" s="18" t="inlineStr">
        <is>
          <t>Salió Urbania</t>
        </is>
      </c>
      <c r="E5" s="18" t="inlineStr">
        <is>
          <t>Salió Malla</t>
        </is>
      </c>
      <c r="F5" s="18" t="inlineStr">
        <is>
          <t>Salió Duela</t>
        </is>
      </c>
      <c r="G5" s="18" t="inlineStr">
        <is>
          <t>Salió Pegavitro</t>
        </is>
      </c>
      <c r="H5" s="18" t="inlineStr">
        <is>
          <t>Salió Porcelánico</t>
        </is>
      </c>
      <c r="I5" s="17" t="inlineStr">
        <is>
          <t>Piso Moret</t>
        </is>
      </c>
      <c r="J5" s="17" t="inlineStr">
        <is>
          <t>Urbania White</t>
        </is>
      </c>
      <c r="K5" s="17" t="inlineStr">
        <is>
          <t>Malla Lyndhurst</t>
        </is>
      </c>
      <c r="L5" s="17" t="inlineStr">
        <is>
          <t>Royal Walnut</t>
        </is>
      </c>
      <c r="M5" s="17" t="inlineStr">
        <is>
          <t>Pegavitro</t>
        </is>
      </c>
      <c r="N5" s="17" t="inlineStr">
        <is>
          <t>Fija Porcelánico</t>
        </is>
      </c>
    </row>
    <row r="6">
      <c r="A6" s="19" t="inlineStr">
        <is>
          <t>▶ Inicial (al llegar)</t>
        </is>
      </c>
      <c r="B6" s="20" t="inlineStr"/>
      <c r="C6" s="21" t="n"/>
      <c r="D6" s="21" t="n"/>
      <c r="E6" s="21" t="n"/>
      <c r="F6" s="21" t="n"/>
      <c r="G6" s="21" t="n"/>
      <c r="H6" s="21" t="n"/>
      <c r="I6" s="22" t="n">
        <v>127</v>
      </c>
      <c r="J6" s="22" t="n">
        <v>8</v>
      </c>
      <c r="K6" s="22" t="n">
        <v>28</v>
      </c>
      <c r="L6" s="22" t="n">
        <v>32</v>
      </c>
      <c r="M6" s="22" t="n"/>
      <c r="N6" s="22" t="n"/>
    </row>
    <row r="7">
      <c r="A7" s="20" t="n"/>
      <c r="B7" s="20" t="n"/>
      <c r="C7" s="21">
        <f>IF($I7="","",IF(N($I6)-$I7&lt;=0,"",N($I6)-$I7))</f>
        <v/>
      </c>
      <c r="D7" s="21">
        <f>IF($J7="","",IF(N($J6)-$J7&lt;=0,"",N($J6)-$J7))</f>
        <v/>
      </c>
      <c r="E7" s="21">
        <f>IF($K7="","",IF(N($K6)-$K7&lt;=0,"",N($K6)-$K7))</f>
        <v/>
      </c>
      <c r="F7" s="21">
        <f>IF($L7="","",IF(N($L6)-$L7&lt;=0,"",N($L6)-$L7))</f>
        <v/>
      </c>
      <c r="G7" s="21">
        <f>IF($M7="","",IF(N($M6)-$M7&lt;=0,"",N($M6)-$M7))</f>
        <v/>
      </c>
      <c r="H7" s="21">
        <f>IF($N7="","",IF(N($N6)-$N7&lt;=0,"",N($N6)-$N7))</f>
        <v/>
      </c>
      <c r="I7" s="23" t="n"/>
      <c r="J7" s="23" t="n"/>
      <c r="K7" s="23" t="n"/>
      <c r="L7" s="23" t="n"/>
      <c r="M7" s="23" t="n"/>
      <c r="N7" s="23" t="n"/>
    </row>
    <row r="8">
      <c r="A8" s="20" t="n"/>
      <c r="B8" s="20" t="n"/>
      <c r="C8" s="21">
        <f>IF($I8="","",IF(N($I7)-$I8&lt;=0,"",N($I7)-$I8))</f>
        <v/>
      </c>
      <c r="D8" s="21">
        <f>IF($J8="","",IF(N($J7)-$J8&lt;=0,"",N($J7)-$J8))</f>
        <v/>
      </c>
      <c r="E8" s="21">
        <f>IF($K8="","",IF(N($K7)-$K8&lt;=0,"",N($K7)-$K8))</f>
        <v/>
      </c>
      <c r="F8" s="21">
        <f>IF($L8="","",IF(N($L7)-$L8&lt;=0,"",N($L7)-$L8))</f>
        <v/>
      </c>
      <c r="G8" s="21">
        <f>IF($M8="","",IF(N($M7)-$M8&lt;=0,"",N($M7)-$M8))</f>
        <v/>
      </c>
      <c r="H8" s="21">
        <f>IF($N8="","",IF(N($N7)-$N8&lt;=0,"",N($N7)-$N8))</f>
        <v/>
      </c>
      <c r="I8" s="23" t="n"/>
      <c r="J8" s="23" t="n"/>
      <c r="K8" s="23" t="n"/>
      <c r="L8" s="23" t="n"/>
      <c r="M8" s="23" t="n"/>
      <c r="N8" s="23" t="n"/>
    </row>
    <row r="9">
      <c r="A9" s="20" t="n"/>
      <c r="B9" s="20" t="n"/>
      <c r="C9" s="21">
        <f>IF($I9="","",IF(N($I8)-$I9&lt;=0,"",N($I8)-$I9))</f>
        <v/>
      </c>
      <c r="D9" s="21">
        <f>IF($J9="","",IF(N($J8)-$J9&lt;=0,"",N($J8)-$J9))</f>
        <v/>
      </c>
      <c r="E9" s="21">
        <f>IF($K9="","",IF(N($K8)-$K9&lt;=0,"",N($K8)-$K9))</f>
        <v/>
      </c>
      <c r="F9" s="21">
        <f>IF($L9="","",IF(N($L8)-$L9&lt;=0,"",N($L8)-$L9))</f>
        <v/>
      </c>
      <c r="G9" s="21">
        <f>IF($M9="","",IF(N($M8)-$M9&lt;=0,"",N($M8)-$M9))</f>
        <v/>
      </c>
      <c r="H9" s="21">
        <f>IF($N9="","",IF(N($N8)-$N9&lt;=0,"",N($N8)-$N9))</f>
        <v/>
      </c>
      <c r="I9" s="23" t="n"/>
      <c r="J9" s="23" t="n"/>
      <c r="K9" s="23" t="n"/>
      <c r="L9" s="23" t="n"/>
      <c r="M9" s="23" t="n"/>
      <c r="N9" s="23" t="n"/>
    </row>
    <row r="10">
      <c r="A10" s="20" t="n"/>
      <c r="B10" s="20" t="n"/>
      <c r="C10" s="21">
        <f>IF($I10="","",IF(N($I9)-$I10&lt;=0,"",N($I9)-$I10))</f>
        <v/>
      </c>
      <c r="D10" s="21">
        <f>IF($J10="","",IF(N($J9)-$J10&lt;=0,"",N($J9)-$J10))</f>
        <v/>
      </c>
      <c r="E10" s="21">
        <f>IF($K10="","",IF(N($K9)-$K10&lt;=0,"",N($K9)-$K10))</f>
        <v/>
      </c>
      <c r="F10" s="21">
        <f>IF($L10="","",IF(N($L9)-$L10&lt;=0,"",N($L9)-$L10))</f>
        <v/>
      </c>
      <c r="G10" s="21">
        <f>IF($M10="","",IF(N($M9)-$M10&lt;=0,"",N($M9)-$M10))</f>
        <v/>
      </c>
      <c r="H10" s="21">
        <f>IF($N10="","",IF(N($N9)-$N10&lt;=0,"",N($N9)-$N10))</f>
        <v/>
      </c>
      <c r="I10" s="23" t="n"/>
      <c r="J10" s="23" t="n"/>
      <c r="K10" s="23" t="n"/>
      <c r="L10" s="23" t="n"/>
      <c r="M10" s="23" t="n"/>
      <c r="N10" s="23" t="n"/>
    </row>
    <row r="11">
      <c r="A11" s="20" t="n"/>
      <c r="B11" s="20" t="n"/>
      <c r="C11" s="21">
        <f>IF($I11="","",IF(N($I10)-$I11&lt;=0,"",N($I10)-$I11))</f>
        <v/>
      </c>
      <c r="D11" s="21">
        <f>IF($J11="","",IF(N($J10)-$J11&lt;=0,"",N($J10)-$J11))</f>
        <v/>
      </c>
      <c r="E11" s="21">
        <f>IF($K11="","",IF(N($K10)-$K11&lt;=0,"",N($K10)-$K11))</f>
        <v/>
      </c>
      <c r="F11" s="21">
        <f>IF($L11="","",IF(N($L10)-$L11&lt;=0,"",N($L10)-$L11))</f>
        <v/>
      </c>
      <c r="G11" s="21">
        <f>IF($M11="","",IF(N($M10)-$M11&lt;=0,"",N($M10)-$M11))</f>
        <v/>
      </c>
      <c r="H11" s="21">
        <f>IF($N11="","",IF(N($N10)-$N11&lt;=0,"",N($N10)-$N11))</f>
        <v/>
      </c>
      <c r="I11" s="23" t="n"/>
      <c r="J11" s="23" t="n"/>
      <c r="K11" s="23" t="n"/>
      <c r="L11" s="23" t="n"/>
      <c r="M11" s="23" t="n"/>
      <c r="N11" s="23" t="n"/>
    </row>
    <row r="12">
      <c r="A12" s="20" t="n"/>
      <c r="B12" s="20" t="n"/>
      <c r="C12" s="21">
        <f>IF($I12="","",IF(N($I11)-$I12&lt;=0,"",N($I11)-$I12))</f>
        <v/>
      </c>
      <c r="D12" s="21">
        <f>IF($J12="","",IF(N($J11)-$J12&lt;=0,"",N($J11)-$J12))</f>
        <v/>
      </c>
      <c r="E12" s="21">
        <f>IF($K12="","",IF(N($K11)-$K12&lt;=0,"",N($K11)-$K12))</f>
        <v/>
      </c>
      <c r="F12" s="21">
        <f>IF($L12="","",IF(N($L11)-$L12&lt;=0,"",N($L11)-$L12))</f>
        <v/>
      </c>
      <c r="G12" s="21">
        <f>IF($M12="","",IF(N($M11)-$M12&lt;=0,"",N($M11)-$M12))</f>
        <v/>
      </c>
      <c r="H12" s="21">
        <f>IF($N12="","",IF(N($N11)-$N12&lt;=0,"",N($N11)-$N12))</f>
        <v/>
      </c>
      <c r="I12" s="23" t="n"/>
      <c r="J12" s="23" t="n"/>
      <c r="K12" s="23" t="n"/>
      <c r="L12" s="23" t="n"/>
      <c r="M12" s="23" t="n"/>
      <c r="N12" s="23" t="n"/>
    </row>
    <row r="13">
      <c r="A13" s="20" t="n"/>
      <c r="B13" s="20" t="n"/>
      <c r="C13" s="21">
        <f>IF($I13="","",IF(N($I12)-$I13&lt;=0,"",N($I12)-$I13))</f>
        <v/>
      </c>
      <c r="D13" s="21">
        <f>IF($J13="","",IF(N($J12)-$J13&lt;=0,"",N($J12)-$J13))</f>
        <v/>
      </c>
      <c r="E13" s="21">
        <f>IF($K13="","",IF(N($K12)-$K13&lt;=0,"",N($K12)-$K13))</f>
        <v/>
      </c>
      <c r="F13" s="21">
        <f>IF($L13="","",IF(N($L12)-$L13&lt;=0,"",N($L12)-$L13))</f>
        <v/>
      </c>
      <c r="G13" s="21">
        <f>IF($M13="","",IF(N($M12)-$M13&lt;=0,"",N($M12)-$M13))</f>
        <v/>
      </c>
      <c r="H13" s="21">
        <f>IF($N13="","",IF(N($N12)-$N13&lt;=0,"",N($N12)-$N13))</f>
        <v/>
      </c>
      <c r="I13" s="23" t="n"/>
      <c r="J13" s="23" t="n"/>
      <c r="K13" s="23" t="n"/>
      <c r="L13" s="23" t="n"/>
      <c r="M13" s="23" t="n"/>
      <c r="N13" s="23" t="n"/>
    </row>
    <row r="14">
      <c r="A14" s="20" t="n"/>
      <c r="B14" s="20" t="n"/>
      <c r="C14" s="21">
        <f>IF($I14="","",IF(N($I13)-$I14&lt;=0,"",N($I13)-$I14))</f>
        <v/>
      </c>
      <c r="D14" s="21">
        <f>IF($J14="","",IF(N($J13)-$J14&lt;=0,"",N($J13)-$J14))</f>
        <v/>
      </c>
      <c r="E14" s="21">
        <f>IF($K14="","",IF(N($K13)-$K14&lt;=0,"",N($K13)-$K14))</f>
        <v/>
      </c>
      <c r="F14" s="21">
        <f>IF($L14="","",IF(N($L13)-$L14&lt;=0,"",N($L13)-$L14))</f>
        <v/>
      </c>
      <c r="G14" s="21">
        <f>IF($M14="","",IF(N($M13)-$M14&lt;=0,"",N($M13)-$M14))</f>
        <v/>
      </c>
      <c r="H14" s="21">
        <f>IF($N14="","",IF(N($N13)-$N14&lt;=0,"",N($N13)-$N14))</f>
        <v/>
      </c>
      <c r="I14" s="23" t="n"/>
      <c r="J14" s="23" t="n"/>
      <c r="K14" s="23" t="n"/>
      <c r="L14" s="23" t="n"/>
      <c r="M14" s="23" t="n"/>
      <c r="N14" s="23" t="n"/>
    </row>
    <row r="15">
      <c r="A15" s="20" t="n"/>
      <c r="B15" s="20" t="n"/>
      <c r="C15" s="21">
        <f>IF($I15="","",IF(N($I14)-$I15&lt;=0,"",N($I14)-$I15))</f>
        <v/>
      </c>
      <c r="D15" s="21">
        <f>IF($J15="","",IF(N($J14)-$J15&lt;=0,"",N($J14)-$J15))</f>
        <v/>
      </c>
      <c r="E15" s="21">
        <f>IF($K15="","",IF(N($K14)-$K15&lt;=0,"",N($K14)-$K15))</f>
        <v/>
      </c>
      <c r="F15" s="21">
        <f>IF($L15="","",IF(N($L14)-$L15&lt;=0,"",N($L14)-$L15))</f>
        <v/>
      </c>
      <c r="G15" s="21">
        <f>IF($M15="","",IF(N($M14)-$M15&lt;=0,"",N($M14)-$M15))</f>
        <v/>
      </c>
      <c r="H15" s="21">
        <f>IF($N15="","",IF(N($N14)-$N15&lt;=0,"",N($N14)-$N15))</f>
        <v/>
      </c>
      <c r="I15" s="23" t="n"/>
      <c r="J15" s="23" t="n"/>
      <c r="K15" s="23" t="n"/>
      <c r="L15" s="23" t="n"/>
      <c r="M15" s="23" t="n"/>
      <c r="N15" s="23" t="n"/>
    </row>
    <row r="16">
      <c r="A16" s="20" t="n"/>
      <c r="B16" s="20" t="n"/>
      <c r="C16" s="21">
        <f>IF($I16="","",IF(N($I15)-$I16&lt;=0,"",N($I15)-$I16))</f>
        <v/>
      </c>
      <c r="D16" s="21">
        <f>IF($J16="","",IF(N($J15)-$J16&lt;=0,"",N($J15)-$J16))</f>
        <v/>
      </c>
      <c r="E16" s="21">
        <f>IF($K16="","",IF(N($K15)-$K16&lt;=0,"",N($K15)-$K16))</f>
        <v/>
      </c>
      <c r="F16" s="21">
        <f>IF($L16="","",IF(N($L15)-$L16&lt;=0,"",N($L15)-$L16))</f>
        <v/>
      </c>
      <c r="G16" s="21">
        <f>IF($M16="","",IF(N($M15)-$M16&lt;=0,"",N($M15)-$M16))</f>
        <v/>
      </c>
      <c r="H16" s="21">
        <f>IF($N16="","",IF(N($N15)-$N16&lt;=0,"",N($N15)-$N16))</f>
        <v/>
      </c>
      <c r="I16" s="23" t="n"/>
      <c r="J16" s="23" t="n"/>
      <c r="K16" s="23" t="n"/>
      <c r="L16" s="23" t="n"/>
      <c r="M16" s="23" t="n"/>
      <c r="N16" s="23" t="n"/>
    </row>
    <row r="17">
      <c r="A17" s="20" t="n"/>
      <c r="B17" s="20" t="n"/>
      <c r="C17" s="21">
        <f>IF($I17="","",IF(N($I16)-$I17&lt;=0,"",N($I16)-$I17))</f>
        <v/>
      </c>
      <c r="D17" s="21">
        <f>IF($J17="","",IF(N($J16)-$J17&lt;=0,"",N($J16)-$J17))</f>
        <v/>
      </c>
      <c r="E17" s="21">
        <f>IF($K17="","",IF(N($K16)-$K17&lt;=0,"",N($K16)-$K17))</f>
        <v/>
      </c>
      <c r="F17" s="21">
        <f>IF($L17="","",IF(N($L16)-$L17&lt;=0,"",N($L16)-$L17))</f>
        <v/>
      </c>
      <c r="G17" s="21">
        <f>IF($M17="","",IF(N($M16)-$M17&lt;=0,"",N($M16)-$M17))</f>
        <v/>
      </c>
      <c r="H17" s="21">
        <f>IF($N17="","",IF(N($N16)-$N17&lt;=0,"",N($N16)-$N17))</f>
        <v/>
      </c>
      <c r="I17" s="23" t="n"/>
      <c r="J17" s="23" t="n"/>
      <c r="K17" s="23" t="n"/>
      <c r="L17" s="23" t="n"/>
      <c r="M17" s="23" t="n"/>
      <c r="N17" s="23" t="n"/>
    </row>
    <row r="18">
      <c r="A18" s="20" t="n"/>
      <c r="B18" s="20" t="n"/>
      <c r="C18" s="21">
        <f>IF($I18="","",IF(N($I17)-$I18&lt;=0,"",N($I17)-$I18))</f>
        <v/>
      </c>
      <c r="D18" s="21">
        <f>IF($J18="","",IF(N($J17)-$J18&lt;=0,"",N($J17)-$J18))</f>
        <v/>
      </c>
      <c r="E18" s="21">
        <f>IF($K18="","",IF(N($K17)-$K18&lt;=0,"",N($K17)-$K18))</f>
        <v/>
      </c>
      <c r="F18" s="21">
        <f>IF($L18="","",IF(N($L17)-$L18&lt;=0,"",N($L17)-$L18))</f>
        <v/>
      </c>
      <c r="G18" s="21">
        <f>IF($M18="","",IF(N($M17)-$M18&lt;=0,"",N($M17)-$M18))</f>
        <v/>
      </c>
      <c r="H18" s="21">
        <f>IF($N18="","",IF(N($N17)-$N18&lt;=0,"",N($N17)-$N18))</f>
        <v/>
      </c>
      <c r="I18" s="23" t="n"/>
      <c r="J18" s="23" t="n"/>
      <c r="K18" s="23" t="n"/>
      <c r="L18" s="23" t="n"/>
      <c r="M18" s="23" t="n"/>
      <c r="N18" s="23" t="n"/>
    </row>
    <row r="19">
      <c r="A19" s="20" t="n"/>
      <c r="B19" s="20" t="n"/>
      <c r="C19" s="21">
        <f>IF($I19="","",IF(N($I18)-$I19&lt;=0,"",N($I18)-$I19))</f>
        <v/>
      </c>
      <c r="D19" s="21">
        <f>IF($J19="","",IF(N($J18)-$J19&lt;=0,"",N($J18)-$J19))</f>
        <v/>
      </c>
      <c r="E19" s="21">
        <f>IF($K19="","",IF(N($K18)-$K19&lt;=0,"",N($K18)-$K19))</f>
        <v/>
      </c>
      <c r="F19" s="21">
        <f>IF($L19="","",IF(N($L18)-$L19&lt;=0,"",N($L18)-$L19))</f>
        <v/>
      </c>
      <c r="G19" s="21">
        <f>IF($M19="","",IF(N($M18)-$M19&lt;=0,"",N($M18)-$M19))</f>
        <v/>
      </c>
      <c r="H19" s="21">
        <f>IF($N19="","",IF(N($N18)-$N19&lt;=0,"",N($N18)-$N19))</f>
        <v/>
      </c>
      <c r="I19" s="23" t="n"/>
      <c r="J19" s="23" t="n"/>
      <c r="K19" s="23" t="n"/>
      <c r="L19" s="23" t="n"/>
      <c r="M19" s="23" t="n"/>
      <c r="N19" s="23" t="n"/>
    </row>
    <row r="20">
      <c r="A20" s="20" t="n"/>
      <c r="B20" s="20" t="n"/>
      <c r="C20" s="21">
        <f>IF($I20="","",IF(N($I19)-$I20&lt;=0,"",N($I19)-$I20))</f>
        <v/>
      </c>
      <c r="D20" s="21">
        <f>IF($J20="","",IF(N($J19)-$J20&lt;=0,"",N($J19)-$J20))</f>
        <v/>
      </c>
      <c r="E20" s="21">
        <f>IF($K20="","",IF(N($K19)-$K20&lt;=0,"",N($K19)-$K20))</f>
        <v/>
      </c>
      <c r="F20" s="21">
        <f>IF($L20="","",IF(N($L19)-$L20&lt;=0,"",N($L19)-$L20))</f>
        <v/>
      </c>
      <c r="G20" s="21">
        <f>IF($M20="","",IF(N($M19)-$M20&lt;=0,"",N($M19)-$M20))</f>
        <v/>
      </c>
      <c r="H20" s="21">
        <f>IF($N20="","",IF(N($N19)-$N20&lt;=0,"",N($N19)-$N20))</f>
        <v/>
      </c>
      <c r="I20" s="23" t="n"/>
      <c r="J20" s="23" t="n"/>
      <c r="K20" s="23" t="n"/>
      <c r="L20" s="23" t="n"/>
      <c r="M20" s="23" t="n"/>
      <c r="N20" s="23" t="n"/>
    </row>
    <row r="21">
      <c r="A21" s="20" t="n"/>
      <c r="B21" s="20" t="n"/>
      <c r="C21" s="21">
        <f>IF($I21="","",IF(N($I20)-$I21&lt;=0,"",N($I20)-$I21))</f>
        <v/>
      </c>
      <c r="D21" s="21">
        <f>IF($J21="","",IF(N($J20)-$J21&lt;=0,"",N($J20)-$J21))</f>
        <v/>
      </c>
      <c r="E21" s="21">
        <f>IF($K21="","",IF(N($K20)-$K21&lt;=0,"",N($K20)-$K21))</f>
        <v/>
      </c>
      <c r="F21" s="21">
        <f>IF($L21="","",IF(N($L20)-$L21&lt;=0,"",N($L20)-$L21))</f>
        <v/>
      </c>
      <c r="G21" s="21">
        <f>IF($M21="","",IF(N($M20)-$M21&lt;=0,"",N($M20)-$M21))</f>
        <v/>
      </c>
      <c r="H21" s="21">
        <f>IF($N21="","",IF(N($N20)-$N21&lt;=0,"",N($N20)-$N21))</f>
        <v/>
      </c>
      <c r="I21" s="23" t="n"/>
      <c r="J21" s="23" t="n"/>
      <c r="K21" s="23" t="n"/>
      <c r="L21" s="23" t="n"/>
      <c r="M21" s="23" t="n"/>
      <c r="N21" s="23" t="n"/>
    </row>
    <row r="22">
      <c r="A22" s="20" t="n"/>
      <c r="B22" s="20" t="n"/>
      <c r="C22" s="21">
        <f>IF($I22="","",IF(N($I21)-$I22&lt;=0,"",N($I21)-$I22))</f>
        <v/>
      </c>
      <c r="D22" s="21">
        <f>IF($J22="","",IF(N($J21)-$J22&lt;=0,"",N($J21)-$J22))</f>
        <v/>
      </c>
      <c r="E22" s="21">
        <f>IF($K22="","",IF(N($K21)-$K22&lt;=0,"",N($K21)-$K22))</f>
        <v/>
      </c>
      <c r="F22" s="21">
        <f>IF($L22="","",IF(N($L21)-$L22&lt;=0,"",N($L21)-$L22))</f>
        <v/>
      </c>
      <c r="G22" s="21">
        <f>IF($M22="","",IF(N($M21)-$M22&lt;=0,"",N($M21)-$M22))</f>
        <v/>
      </c>
      <c r="H22" s="21">
        <f>IF($N22="","",IF(N($N21)-$N22&lt;=0,"",N($N21)-$N22))</f>
        <v/>
      </c>
      <c r="I22" s="23" t="n"/>
      <c r="J22" s="23" t="n"/>
      <c r="K22" s="23" t="n"/>
      <c r="L22" s="23" t="n"/>
      <c r="M22" s="23" t="n"/>
      <c r="N22" s="23" t="n"/>
    </row>
    <row r="23">
      <c r="A23" s="20" t="n"/>
      <c r="B23" s="20" t="n"/>
      <c r="C23" s="21">
        <f>IF($I23="","",IF(N($I22)-$I23&lt;=0,"",N($I22)-$I23))</f>
        <v/>
      </c>
      <c r="D23" s="21">
        <f>IF($J23="","",IF(N($J22)-$J23&lt;=0,"",N($J22)-$J23))</f>
        <v/>
      </c>
      <c r="E23" s="21">
        <f>IF($K23="","",IF(N($K22)-$K23&lt;=0,"",N($K22)-$K23))</f>
        <v/>
      </c>
      <c r="F23" s="21">
        <f>IF($L23="","",IF(N($L22)-$L23&lt;=0,"",N($L22)-$L23))</f>
        <v/>
      </c>
      <c r="G23" s="21">
        <f>IF($M23="","",IF(N($M22)-$M23&lt;=0,"",N($M22)-$M23))</f>
        <v/>
      </c>
      <c r="H23" s="21">
        <f>IF($N23="","",IF(N($N22)-$N23&lt;=0,"",N($N22)-$N23))</f>
        <v/>
      </c>
      <c r="I23" s="23" t="n"/>
      <c r="J23" s="23" t="n"/>
      <c r="K23" s="23" t="n"/>
      <c r="L23" s="23" t="n"/>
      <c r="M23" s="23" t="n"/>
      <c r="N23" s="23" t="n"/>
    </row>
    <row r="24">
      <c r="A24" s="20" t="n"/>
      <c r="B24" s="20" t="n"/>
      <c r="C24" s="21">
        <f>IF($I24="","",IF(N($I23)-$I24&lt;=0,"",N($I23)-$I24))</f>
        <v/>
      </c>
      <c r="D24" s="21">
        <f>IF($J24="","",IF(N($J23)-$J24&lt;=0,"",N($J23)-$J24))</f>
        <v/>
      </c>
      <c r="E24" s="21">
        <f>IF($K24="","",IF(N($K23)-$K24&lt;=0,"",N($K23)-$K24))</f>
        <v/>
      </c>
      <c r="F24" s="21">
        <f>IF($L24="","",IF(N($L23)-$L24&lt;=0,"",N($L23)-$L24))</f>
        <v/>
      </c>
      <c r="G24" s="21">
        <f>IF($M24="","",IF(N($M23)-$M24&lt;=0,"",N($M23)-$M24))</f>
        <v/>
      </c>
      <c r="H24" s="21">
        <f>IF($N24="","",IF(N($N23)-$N24&lt;=0,"",N($N23)-$N24))</f>
        <v/>
      </c>
      <c r="I24" s="23" t="n"/>
      <c r="J24" s="23" t="n"/>
      <c r="K24" s="23" t="n"/>
      <c r="L24" s="23" t="n"/>
      <c r="M24" s="23" t="n"/>
      <c r="N24" s="23" t="n"/>
    </row>
    <row r="25">
      <c r="A25" s="20" t="n"/>
      <c r="B25" s="20" t="n"/>
      <c r="C25" s="21">
        <f>IF($I25="","",IF(N($I24)-$I25&lt;=0,"",N($I24)-$I25))</f>
        <v/>
      </c>
      <c r="D25" s="21">
        <f>IF($J25="","",IF(N($J24)-$J25&lt;=0,"",N($J24)-$J25))</f>
        <v/>
      </c>
      <c r="E25" s="21">
        <f>IF($K25="","",IF(N($K24)-$K25&lt;=0,"",N($K24)-$K25))</f>
        <v/>
      </c>
      <c r="F25" s="21">
        <f>IF($L25="","",IF(N($L24)-$L25&lt;=0,"",N($L24)-$L25))</f>
        <v/>
      </c>
      <c r="G25" s="21">
        <f>IF($M25="","",IF(N($M24)-$M25&lt;=0,"",N($M24)-$M25))</f>
        <v/>
      </c>
      <c r="H25" s="21">
        <f>IF($N25="","",IF(N($N24)-$N25&lt;=0,"",N($N24)-$N25))</f>
        <v/>
      </c>
      <c r="I25" s="23" t="n"/>
      <c r="J25" s="23" t="n"/>
      <c r="K25" s="23" t="n"/>
      <c r="L25" s="23" t="n"/>
      <c r="M25" s="23" t="n"/>
      <c r="N25" s="23" t="n"/>
    </row>
    <row r="26">
      <c r="A26" s="20" t="n"/>
      <c r="B26" s="20" t="n"/>
      <c r="C26" s="21">
        <f>IF($I26="","",IF(N($I25)-$I26&lt;=0,"",N($I25)-$I26))</f>
        <v/>
      </c>
      <c r="D26" s="21">
        <f>IF($J26="","",IF(N($J25)-$J26&lt;=0,"",N($J25)-$J26))</f>
        <v/>
      </c>
      <c r="E26" s="21">
        <f>IF($K26="","",IF(N($K25)-$K26&lt;=0,"",N($K25)-$K26))</f>
        <v/>
      </c>
      <c r="F26" s="21">
        <f>IF($L26="","",IF(N($L25)-$L26&lt;=0,"",N($L25)-$L26))</f>
        <v/>
      </c>
      <c r="G26" s="21">
        <f>IF($M26="","",IF(N($M25)-$M26&lt;=0,"",N($M25)-$M26))</f>
        <v/>
      </c>
      <c r="H26" s="21">
        <f>IF($N26="","",IF(N($N25)-$N26&lt;=0,"",N($N25)-$N26))</f>
        <v/>
      </c>
      <c r="I26" s="23" t="n"/>
      <c r="J26" s="23" t="n"/>
      <c r="K26" s="23" t="n"/>
      <c r="L26" s="23" t="n"/>
      <c r="M26" s="23" t="n"/>
      <c r="N26" s="23" t="n"/>
    </row>
    <row r="27">
      <c r="A27" s="20" t="n"/>
      <c r="B27" s="20" t="n"/>
      <c r="C27" s="21">
        <f>IF($I27="","",IF(N($I26)-$I27&lt;=0,"",N($I26)-$I27))</f>
        <v/>
      </c>
      <c r="D27" s="21">
        <f>IF($J27="","",IF(N($J26)-$J27&lt;=0,"",N($J26)-$J27))</f>
        <v/>
      </c>
      <c r="E27" s="21">
        <f>IF($K27="","",IF(N($K26)-$K27&lt;=0,"",N($K26)-$K27))</f>
        <v/>
      </c>
      <c r="F27" s="21">
        <f>IF($L27="","",IF(N($L26)-$L27&lt;=0,"",N($L26)-$L27))</f>
        <v/>
      </c>
      <c r="G27" s="21">
        <f>IF($M27="","",IF(N($M26)-$M27&lt;=0,"",N($M26)-$M27))</f>
        <v/>
      </c>
      <c r="H27" s="21">
        <f>IF($N27="","",IF(N($N26)-$N27&lt;=0,"",N($N26)-$N27))</f>
        <v/>
      </c>
      <c r="I27" s="23" t="n"/>
      <c r="J27" s="23" t="n"/>
      <c r="K27" s="23" t="n"/>
      <c r="L27" s="23" t="n"/>
      <c r="M27" s="23" t="n"/>
      <c r="N27" s="23" t="n"/>
    </row>
    <row r="28">
      <c r="A28" s="20" t="n"/>
      <c r="B28" s="20" t="n"/>
      <c r="C28" s="21">
        <f>IF($I28="","",IF(N($I27)-$I28&lt;=0,"",N($I27)-$I28))</f>
        <v/>
      </c>
      <c r="D28" s="21">
        <f>IF($J28="","",IF(N($J27)-$J28&lt;=0,"",N($J27)-$J28))</f>
        <v/>
      </c>
      <c r="E28" s="21">
        <f>IF($K28="","",IF(N($K27)-$K28&lt;=0,"",N($K27)-$K28))</f>
        <v/>
      </c>
      <c r="F28" s="21">
        <f>IF($L28="","",IF(N($L27)-$L28&lt;=0,"",N($L27)-$L28))</f>
        <v/>
      </c>
      <c r="G28" s="21">
        <f>IF($M28="","",IF(N($M27)-$M28&lt;=0,"",N($M27)-$M28))</f>
        <v/>
      </c>
      <c r="H28" s="21">
        <f>IF($N28="","",IF(N($N27)-$N28&lt;=0,"",N($N27)-$N28))</f>
        <v/>
      </c>
      <c r="I28" s="23" t="n"/>
      <c r="J28" s="23" t="n"/>
      <c r="K28" s="23" t="n"/>
      <c r="L28" s="23" t="n"/>
      <c r="M28" s="23" t="n"/>
      <c r="N28" s="23" t="n"/>
    </row>
    <row r="29">
      <c r="A29" s="20" t="n"/>
      <c r="B29" s="20" t="n"/>
      <c r="C29" s="21">
        <f>IF($I29="","",IF(N($I28)-$I29&lt;=0,"",N($I28)-$I29))</f>
        <v/>
      </c>
      <c r="D29" s="21">
        <f>IF($J29="","",IF(N($J28)-$J29&lt;=0,"",N($J28)-$J29))</f>
        <v/>
      </c>
      <c r="E29" s="21">
        <f>IF($K29="","",IF(N($K28)-$K29&lt;=0,"",N($K28)-$K29))</f>
        <v/>
      </c>
      <c r="F29" s="21">
        <f>IF($L29="","",IF(N($L28)-$L29&lt;=0,"",N($L28)-$L29))</f>
        <v/>
      </c>
      <c r="G29" s="21">
        <f>IF($M29="","",IF(N($M28)-$M29&lt;=0,"",N($M28)-$M29))</f>
        <v/>
      </c>
      <c r="H29" s="21">
        <f>IF($N29="","",IF(N($N28)-$N29&lt;=0,"",N($N28)-$N29))</f>
        <v/>
      </c>
      <c r="I29" s="23" t="n"/>
      <c r="J29" s="23" t="n"/>
      <c r="K29" s="23" t="n"/>
      <c r="L29" s="23" t="n"/>
      <c r="M29" s="23" t="n"/>
      <c r="N29" s="23" t="n"/>
    </row>
    <row r="30">
      <c r="A30" s="20" t="n"/>
      <c r="B30" s="20" t="n"/>
      <c r="C30" s="21">
        <f>IF($I30="","",IF(N($I29)-$I30&lt;=0,"",N($I29)-$I30))</f>
        <v/>
      </c>
      <c r="D30" s="21">
        <f>IF($J30="","",IF(N($J29)-$J30&lt;=0,"",N($J29)-$J30))</f>
        <v/>
      </c>
      <c r="E30" s="21">
        <f>IF($K30="","",IF(N($K29)-$K30&lt;=0,"",N($K29)-$K30))</f>
        <v/>
      </c>
      <c r="F30" s="21">
        <f>IF($L30="","",IF(N($L29)-$L30&lt;=0,"",N($L29)-$L30))</f>
        <v/>
      </c>
      <c r="G30" s="21">
        <f>IF($M30="","",IF(N($M29)-$M30&lt;=0,"",N($M29)-$M30))</f>
        <v/>
      </c>
      <c r="H30" s="21">
        <f>IF($N30="","",IF(N($N29)-$N30&lt;=0,"",N($N29)-$N30))</f>
        <v/>
      </c>
      <c r="I30" s="23" t="n"/>
      <c r="J30" s="23" t="n"/>
      <c r="K30" s="23" t="n"/>
      <c r="L30" s="23" t="n"/>
      <c r="M30" s="23" t="n"/>
      <c r="N30" s="23" t="n"/>
    </row>
    <row r="31">
      <c r="A31" s="20" t="n"/>
      <c r="B31" s="20" t="n"/>
      <c r="C31" s="21">
        <f>IF($I31="","",IF(N($I30)-$I31&lt;=0,"",N($I30)-$I31))</f>
        <v/>
      </c>
      <c r="D31" s="21">
        <f>IF($J31="","",IF(N($J30)-$J31&lt;=0,"",N($J30)-$J31))</f>
        <v/>
      </c>
      <c r="E31" s="21">
        <f>IF($K31="","",IF(N($K30)-$K31&lt;=0,"",N($K30)-$K31))</f>
        <v/>
      </c>
      <c r="F31" s="21">
        <f>IF($L31="","",IF(N($L30)-$L31&lt;=0,"",N($L30)-$L31))</f>
        <v/>
      </c>
      <c r="G31" s="21">
        <f>IF($M31="","",IF(N($M30)-$M31&lt;=0,"",N($M30)-$M31))</f>
        <v/>
      </c>
      <c r="H31" s="21">
        <f>IF($N31="","",IF(N($N30)-$N31&lt;=0,"",N($N30)-$N31))</f>
        <v/>
      </c>
      <c r="I31" s="23" t="n"/>
      <c r="J31" s="23" t="n"/>
      <c r="K31" s="23" t="n"/>
      <c r="L31" s="23" t="n"/>
      <c r="M31" s="23" t="n"/>
      <c r="N31" s="23" t="n"/>
    </row>
    <row r="32">
      <c r="A32" s="20" t="n"/>
      <c r="B32" s="20" t="n"/>
      <c r="C32" s="21">
        <f>IF($I32="","",IF(N($I31)-$I32&lt;=0,"",N($I31)-$I32))</f>
        <v/>
      </c>
      <c r="D32" s="21">
        <f>IF($J32="","",IF(N($J31)-$J32&lt;=0,"",N($J31)-$J32))</f>
        <v/>
      </c>
      <c r="E32" s="21">
        <f>IF($K32="","",IF(N($K31)-$K32&lt;=0,"",N($K31)-$K32))</f>
        <v/>
      </c>
      <c r="F32" s="21">
        <f>IF($L32="","",IF(N($L31)-$L32&lt;=0,"",N($L31)-$L32))</f>
        <v/>
      </c>
      <c r="G32" s="21">
        <f>IF($M32="","",IF(N($M31)-$M32&lt;=0,"",N($M31)-$M32))</f>
        <v/>
      </c>
      <c r="H32" s="21">
        <f>IF($N32="","",IF(N($N31)-$N32&lt;=0,"",N($N31)-$N32))</f>
        <v/>
      </c>
      <c r="I32" s="23" t="n"/>
      <c r="J32" s="23" t="n"/>
      <c r="K32" s="23" t="n"/>
      <c r="L32" s="23" t="n"/>
      <c r="M32" s="23" t="n"/>
      <c r="N32" s="23" t="n"/>
    </row>
    <row r="33">
      <c r="A33" s="20" t="n"/>
      <c r="B33" s="20" t="n"/>
      <c r="C33" s="21">
        <f>IF($I33="","",IF(N($I32)-$I33&lt;=0,"",N($I32)-$I33))</f>
        <v/>
      </c>
      <c r="D33" s="21">
        <f>IF($J33="","",IF(N($J32)-$J33&lt;=0,"",N($J32)-$J33))</f>
        <v/>
      </c>
      <c r="E33" s="21">
        <f>IF($K33="","",IF(N($K32)-$K33&lt;=0,"",N($K32)-$K33))</f>
        <v/>
      </c>
      <c r="F33" s="21">
        <f>IF($L33="","",IF(N($L32)-$L33&lt;=0,"",N($L32)-$L33))</f>
        <v/>
      </c>
      <c r="G33" s="21">
        <f>IF($M33="","",IF(N($M32)-$M33&lt;=0,"",N($M32)-$M33))</f>
        <v/>
      </c>
      <c r="H33" s="21">
        <f>IF($N33="","",IF(N($N32)-$N33&lt;=0,"",N($N32)-$N33))</f>
        <v/>
      </c>
      <c r="I33" s="23" t="n"/>
      <c r="J33" s="23" t="n"/>
      <c r="K33" s="23" t="n"/>
      <c r="L33" s="23" t="n"/>
      <c r="M33" s="23" t="n"/>
      <c r="N33" s="23" t="n"/>
    </row>
    <row r="34">
      <c r="A34" s="20" t="n"/>
      <c r="B34" s="20" t="n"/>
      <c r="C34" s="21">
        <f>IF($I34="","",IF(N($I33)-$I34&lt;=0,"",N($I33)-$I34))</f>
        <v/>
      </c>
      <c r="D34" s="21">
        <f>IF($J34="","",IF(N($J33)-$J34&lt;=0,"",N($J33)-$J34))</f>
        <v/>
      </c>
      <c r="E34" s="21">
        <f>IF($K34="","",IF(N($K33)-$K34&lt;=0,"",N($K33)-$K34))</f>
        <v/>
      </c>
      <c r="F34" s="21">
        <f>IF($L34="","",IF(N($L33)-$L34&lt;=0,"",N($L33)-$L34))</f>
        <v/>
      </c>
      <c r="G34" s="21">
        <f>IF($M34="","",IF(N($M33)-$M34&lt;=0,"",N($M33)-$M34))</f>
        <v/>
      </c>
      <c r="H34" s="21">
        <f>IF($N34="","",IF(N($N33)-$N34&lt;=0,"",N($N33)-$N34))</f>
        <v/>
      </c>
      <c r="I34" s="23" t="n"/>
      <c r="J34" s="23" t="n"/>
      <c r="K34" s="23" t="n"/>
      <c r="L34" s="23" t="n"/>
      <c r="M34" s="23" t="n"/>
      <c r="N34" s="23" t="n"/>
    </row>
    <row r="35">
      <c r="A35" s="20" t="n"/>
      <c r="B35" s="20" t="n"/>
      <c r="C35" s="21">
        <f>IF($I35="","",IF(N($I34)-$I35&lt;=0,"",N($I34)-$I35))</f>
        <v/>
      </c>
      <c r="D35" s="21">
        <f>IF($J35="","",IF(N($J34)-$J35&lt;=0,"",N($J34)-$J35))</f>
        <v/>
      </c>
      <c r="E35" s="21">
        <f>IF($K35="","",IF(N($K34)-$K35&lt;=0,"",N($K34)-$K35))</f>
        <v/>
      </c>
      <c r="F35" s="21">
        <f>IF($L35="","",IF(N($L34)-$L35&lt;=0,"",N($L34)-$L35))</f>
        <v/>
      </c>
      <c r="G35" s="21">
        <f>IF($M35="","",IF(N($M34)-$M35&lt;=0,"",N($M34)-$M35))</f>
        <v/>
      </c>
      <c r="H35" s="21">
        <f>IF($N35="","",IF(N($N34)-$N35&lt;=0,"",N($N34)-$N35))</f>
        <v/>
      </c>
      <c r="I35" s="23" t="n"/>
      <c r="J35" s="23" t="n"/>
      <c r="K35" s="23" t="n"/>
      <c r="L35" s="23" t="n"/>
      <c r="M35" s="23" t="n"/>
      <c r="N35" s="23" t="n"/>
    </row>
    <row r="36">
      <c r="A36" s="20" t="n"/>
      <c r="B36" s="20" t="n"/>
      <c r="C36" s="21">
        <f>IF($I36="","",IF(N($I35)-$I36&lt;=0,"",N($I35)-$I36))</f>
        <v/>
      </c>
      <c r="D36" s="21">
        <f>IF($J36="","",IF(N($J35)-$J36&lt;=0,"",N($J35)-$J36))</f>
        <v/>
      </c>
      <c r="E36" s="21">
        <f>IF($K36="","",IF(N($K35)-$K36&lt;=0,"",N($K35)-$K36))</f>
        <v/>
      </c>
      <c r="F36" s="21">
        <f>IF($L36="","",IF(N($L35)-$L36&lt;=0,"",N($L35)-$L36))</f>
        <v/>
      </c>
      <c r="G36" s="21">
        <f>IF($M36="","",IF(N($M35)-$M36&lt;=0,"",N($M35)-$M36))</f>
        <v/>
      </c>
      <c r="H36" s="21">
        <f>IF($N36="","",IF(N($N35)-$N36&lt;=0,"",N($N35)-$N36))</f>
        <v/>
      </c>
      <c r="I36" s="23" t="n"/>
      <c r="J36" s="23" t="n"/>
      <c r="K36" s="23" t="n"/>
      <c r="L36" s="23" t="n"/>
      <c r="M36" s="23" t="n"/>
      <c r="N36" s="23" t="n"/>
    </row>
  </sheetData>
  <mergeCells count="2">
    <mergeCell ref="A3:N3"/>
    <mergeCell ref="A2:N2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2026-06-28T23:55:47Z</dcterms:created>
  <dcterms:modified xsi:type="dcterms:W3CDTF">2026-06-28T23:55:47Z</dcterms:modified>
</cp:coreProperties>
</file>