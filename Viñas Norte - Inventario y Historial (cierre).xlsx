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  <sheet name="Historial Lote 33" sheetId="5" state="visible" r:id="rId5"/>
    <sheet name="Historial Lote 19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1F4E78"/>
    </font>
    <font>
      <i val="1"/>
      <color rgb="00595959"/>
      <sz val="9"/>
    </font>
    <font>
      <b val="1"/>
      <color rgb="00FFFFFF"/>
      <sz val="14"/>
    </font>
    <font>
      <b val="1"/>
      <color rgb="00833C00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2F5496"/>
      </patternFill>
    </fill>
    <fill>
      <patternFill patternType="solid">
        <fgColor rgb="00FCF3C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4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0" borderId="0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1F4E78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Hist_L34" displayName="Hist_L34" ref="A5:N28" headerRowCount="1">
  <autoFilter ref="A5:N28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Hist_L9" displayName="Hist_L9" ref="A5:N30" headerRowCount="1">
  <autoFilter ref="A5:N30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Hist_L10" displayName="Hist_L10" ref="A5:N33" headerRowCount="1">
  <autoFilter ref="A5:N33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Hist_L33" displayName="Hist_L33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Hist_L19" displayName="Hist_L19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41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9" t="inlineStr">
        <is>
          <t>🚚  LOTE 33 (CABERNET) MZA 14  ·  POR LLEGAR</t>
        </is>
      </c>
    </row>
    <row r="34">
      <c r="B34" s="4" t="inlineStr">
        <is>
          <t>Material</t>
        </is>
      </c>
      <c r="C34" s="4" t="inlineStr">
        <is>
          <t>Esperado</t>
        </is>
      </c>
      <c r="D34" s="4" t="inlineStr">
        <is>
          <t>Actual</t>
        </is>
      </c>
      <c r="E34" s="4" t="inlineStr">
        <is>
          <t>Estado</t>
        </is>
      </c>
      <c r="F34" s="4" t="inlineStr">
        <is>
          <t>Notas</t>
        </is>
      </c>
    </row>
    <row r="35">
      <c r="B35" s="5" t="inlineStr">
        <is>
          <t>Piso Moret</t>
        </is>
      </c>
      <c r="C35" s="6" t="n">
        <v>117</v>
      </c>
      <c r="D35" s="8" t="n"/>
      <c r="E35" s="10">
        <f>IF(D35="","POR LLEGAR",IF(C35="","—",IF(D35=0,"AGOTADO",IF(D35/C35&lt;=0.15,"CRÍTICO",IF(D35/C35&lt;=0.4,"BAJO","OK")))))</f>
        <v/>
      </c>
      <c r="F35" s="11" t="inlineStr">
        <is>
          <t>Llena 'Actual' cuando llegue el material</t>
        </is>
      </c>
    </row>
    <row r="36">
      <c r="B36" s="5" t="inlineStr">
        <is>
          <t>Urbania White</t>
        </is>
      </c>
      <c r="C36" s="6" t="n">
        <v>8</v>
      </c>
      <c r="D36" s="8" t="n"/>
      <c r="E36" s="10">
        <f>IF(D36="","POR LLEGAR",IF(C36="","—",IF(D36=0,"AGOTADO",IF(D36/C36&lt;=0.15,"CRÍTICO",IF(D36/C36&lt;=0.4,"BAJO","OK")))))</f>
        <v/>
      </c>
      <c r="F36" s="11" t="inlineStr">
        <is>
          <t>Llena 'Actual' cuando llegue el material</t>
        </is>
      </c>
    </row>
    <row r="37">
      <c r="B37" s="5" t="inlineStr">
        <is>
          <t>Malla Lyndhurst</t>
        </is>
      </c>
      <c r="C37" s="6" t="n">
        <v>28</v>
      </c>
      <c r="D37" s="8" t="n"/>
      <c r="E37" s="10">
        <f>IF(D37="","POR LLEGAR",IF(C37="","—",IF(D37=0,"AGOTADO",IF(D37/C37&lt;=0.15,"CRÍTICO",IF(D37/C37&lt;=0.4,"BAJO","OK")))))</f>
        <v/>
      </c>
      <c r="F37" s="11" t="inlineStr">
        <is>
          <t>Llena 'Actual' cuando llegue el material</t>
        </is>
      </c>
    </row>
    <row r="38">
      <c r="B38" s="5" t="inlineStr">
        <is>
          <t>Royal Walnut (duela)</t>
        </is>
      </c>
      <c r="C38" s="6" t="n">
        <v>41</v>
      </c>
      <c r="D38" s="8" t="n"/>
      <c r="E38" s="10">
        <f>IF(D38="","POR LLEGAR",IF(C38="","—",IF(D38=0,"AGOTADO",IF(D38/C38&lt;=0.15,"CRÍTICO",IF(D38/C38&lt;=0.4,"BAJO","OK")))))</f>
        <v/>
      </c>
      <c r="F38" s="11" t="inlineStr">
        <is>
          <t>Llena 'Actual' cuando llegue el material</t>
        </is>
      </c>
    </row>
    <row r="39">
      <c r="B39" s="5" t="inlineStr">
        <is>
          <t>Pegavitro</t>
        </is>
      </c>
      <c r="C39" s="6" t="n">
        <v>93</v>
      </c>
      <c r="D39" s="8" t="n"/>
      <c r="E39" s="10">
        <f>IF(D39="","POR LLEGAR",IF(C39="","—",IF(D39=0,"AGOTADO",IF(D39/C39&lt;=0.15,"CRÍTICO",IF(D39/C39&lt;=0.4,"BAJO","OK")))))</f>
        <v/>
      </c>
      <c r="F39" s="11" t="inlineStr">
        <is>
          <t>Llena 'Actual' cuando llegue el material</t>
        </is>
      </c>
    </row>
    <row r="40">
      <c r="B40" s="5" t="inlineStr">
        <is>
          <t>Unicrest</t>
        </is>
      </c>
      <c r="C40" s="6" t="n">
        <v>20</v>
      </c>
      <c r="D40" s="8" t="n"/>
      <c r="E40" s="10">
        <f>IF(D40="","POR LLEGAR",IF(C40="","—",IF(D40=0,"AGOTADO",IF(D40/C40&lt;=0.15,"CRÍTICO",IF(D40/C40&lt;=0.4,"BAJO","OK")))))</f>
        <v/>
      </c>
      <c r="F40" s="11" t="inlineStr">
        <is>
          <t>Llena 'Actual' cuando llegue el material</t>
        </is>
      </c>
    </row>
    <row r="41">
      <c r="B41" s="5" t="inlineStr">
        <is>
          <t>Vitroblock P.A. (pza)</t>
        </is>
      </c>
      <c r="C41" s="6" t="n">
        <v>28</v>
      </c>
      <c r="D41" s="8" t="n"/>
      <c r="E41" s="10">
        <f>IF(D41="","POR LLEGAR",IF(C41="","—",IF(D41=0,"AGOTADO",IF(D41/C41&lt;=0.15,"CRÍTICO",IF(D41/C41&lt;=0.4,"BAJO","OK")))))</f>
        <v/>
      </c>
      <c r="F41" s="11" t="inlineStr">
        <is>
          <t>Llena 'Actual' cuando llegue el material</t>
        </is>
      </c>
    </row>
    <row r="43">
      <c r="B43" s="9" t="inlineStr">
        <is>
          <t>🚚  LOTE 19 (CHARDONNAY) MZA 7  ·  POR LLEGAR</t>
        </is>
      </c>
    </row>
    <row r="44">
      <c r="B44" s="4" t="inlineStr">
        <is>
          <t>Material</t>
        </is>
      </c>
      <c r="C44" s="4" t="inlineStr">
        <is>
          <t>Esperado</t>
        </is>
      </c>
      <c r="D44" s="4" t="inlineStr">
        <is>
          <t>Actual</t>
        </is>
      </c>
      <c r="E44" s="4" t="inlineStr">
        <is>
          <t>Estado</t>
        </is>
      </c>
      <c r="F44" s="4" t="inlineStr">
        <is>
          <t>Notas</t>
        </is>
      </c>
    </row>
    <row r="45">
      <c r="B45" s="5" t="inlineStr">
        <is>
          <t>Piso Moret</t>
        </is>
      </c>
      <c r="C45" s="6" t="n">
        <v>127</v>
      </c>
      <c r="D45" s="8" t="n"/>
      <c r="E45" s="10">
        <f>IF(D45="","POR LLEGAR",IF(C45="","—",IF(D45=0,"AGOTADO",IF(D45/C45&lt;=0.15,"CRÍTICO",IF(D45/C45&lt;=0.4,"BAJO","OK")))))</f>
        <v/>
      </c>
      <c r="F45" s="11" t="inlineStr">
        <is>
          <t>Esperado del presupuesto; adhesivos por confirmar al llegar</t>
        </is>
      </c>
    </row>
    <row r="46">
      <c r="B46" s="5" t="inlineStr">
        <is>
          <t>Urbania White</t>
        </is>
      </c>
      <c r="C46" s="6" t="n">
        <v>8</v>
      </c>
      <c r="D46" s="8" t="n"/>
      <c r="E46" s="10">
        <f>IF(D46="","POR LLEGAR",IF(C46="","—",IF(D46=0,"AGOTADO",IF(D46/C46&lt;=0.15,"CRÍTICO",IF(D46/C46&lt;=0.4,"BAJO","OK")))))</f>
        <v/>
      </c>
      <c r="F46" s="11" t="inlineStr">
        <is>
          <t>Esperado del presupuesto; adhesivos por confirmar al llegar</t>
        </is>
      </c>
    </row>
    <row r="47">
      <c r="B47" s="5" t="inlineStr">
        <is>
          <t>Malla Lyndhurst</t>
        </is>
      </c>
      <c r="C47" s="6" t="n">
        <v>28</v>
      </c>
      <c r="D47" s="8" t="n"/>
      <c r="E47" s="10">
        <f>IF(D47="","POR LLEGAR",IF(C47="","—",IF(D47=0,"AGOTADO",IF(D47/C47&lt;=0.15,"CRÍTICO",IF(D47/C47&lt;=0.4,"BAJO","OK")))))</f>
        <v/>
      </c>
      <c r="F47" s="11" t="inlineStr">
        <is>
          <t>Esperado del presupuesto; adhesivos por confirmar al llegar</t>
        </is>
      </c>
    </row>
    <row r="48">
      <c r="B48" s="5" t="inlineStr">
        <is>
          <t>Royal Walnut (duela)</t>
        </is>
      </c>
      <c r="C48" s="6" t="n">
        <v>32</v>
      </c>
      <c r="D48" s="8" t="n"/>
      <c r="E48" s="10">
        <f>IF(D48="","POR LLEGAR",IF(C48="","—",IF(D48=0,"AGOTADO",IF(D48/C48&lt;=0.15,"CRÍTICO",IF(D48/C48&lt;=0.4,"BAJO","OK")))))</f>
        <v/>
      </c>
      <c r="F48" s="11" t="inlineStr">
        <is>
          <t>Esperado del presupuesto; adhesivos por confirmar al llegar</t>
        </is>
      </c>
    </row>
    <row r="49">
      <c r="B49" s="5" t="inlineStr">
        <is>
          <t>Pegavitro</t>
        </is>
      </c>
      <c r="C49" s="8" t="n"/>
      <c r="D49" s="8" t="n"/>
      <c r="E49" s="10">
        <f>IF(D49="","POR LLEGAR",IF(C49="","—",IF(D49=0,"AGOTADO",IF(D49/C49&lt;=0.15,"CRÍTICO",IF(D49/C49&lt;=0.4,"BAJO","OK")))))</f>
        <v/>
      </c>
      <c r="F49" s="11" t="inlineStr">
        <is>
          <t>Esperado del presupuesto; adhesivos por confirmar al llegar</t>
        </is>
      </c>
    </row>
    <row r="50">
      <c r="B50" s="5" t="inlineStr">
        <is>
          <t>Fija Porcelánico</t>
        </is>
      </c>
      <c r="C50" s="8" t="n"/>
      <c r="D50" s="8" t="n"/>
      <c r="E50" s="10">
        <f>IF(D50="","POR LLEGAR",IF(C50="","—",IF(D50=0,"AGOTADO",IF(D50/C50&lt;=0.15,"CRÍTICO",IF(D50/C50&lt;=0.4,"BAJO","OK")))))</f>
        <v/>
      </c>
      <c r="F50" s="11" t="inlineStr">
        <is>
          <t>Esperado del presupuesto; adhesivos por confirmar al llegar</t>
        </is>
      </c>
    </row>
    <row r="52">
      <c r="B52" s="3" t="inlineStr">
        <is>
          <t>🧰  EXTRAS Y GENERAL · ALMACÉN</t>
        </is>
      </c>
    </row>
    <row r="53">
      <c r="B53" s="12" t="inlineStr">
        <is>
          <t>Boquilla Crest Cantera 5 kg</t>
        </is>
      </c>
      <c r="C53" s="13" t="inlineStr">
        <is>
          <t>3 cajas</t>
        </is>
      </c>
      <c r="D53" s="14" t="n"/>
      <c r="E53" s="14" t="n"/>
      <c r="F53" s="14" t="n"/>
    </row>
    <row r="54">
      <c r="B54" s="12" t="inlineStr">
        <is>
          <t>Boquilla Crest Blanco 5 kg</t>
        </is>
      </c>
      <c r="C54" s="13" t="inlineStr">
        <is>
          <t>2 cajas</t>
        </is>
      </c>
      <c r="D54" s="14" t="n"/>
      <c r="E54" s="14" t="n"/>
      <c r="F54" s="14" t="n"/>
    </row>
    <row r="55">
      <c r="B55" s="12" t="inlineStr">
        <is>
          <t>Boquilla Crest Chocolate 5 kg</t>
        </is>
      </c>
      <c r="C55" s="13" t="inlineStr">
        <is>
          <t>2 cajas</t>
        </is>
      </c>
      <c r="D55" s="14" t="n"/>
      <c r="E55" s="14" t="n"/>
      <c r="F55" s="14" t="n"/>
    </row>
    <row r="56">
      <c r="B56" s="12" t="inlineStr">
        <is>
          <t>Boquilla Crest Plata 5 kg</t>
        </is>
      </c>
      <c r="C56" s="13" t="inlineStr">
        <is>
          <t>1 caja</t>
        </is>
      </c>
      <c r="D56" s="14" t="n"/>
      <c r="E56" s="14" t="n"/>
      <c r="F56" s="14" t="n"/>
    </row>
    <row r="57">
      <c r="B57" s="12" t="inlineStr">
        <is>
          <t>Kretbond 20 kg (basecoat)</t>
        </is>
      </c>
      <c r="C57" s="13" t="inlineStr">
        <is>
          <t>5 sacos</t>
        </is>
      </c>
      <c r="D57" s="14" t="n"/>
      <c r="E57" s="14" t="n"/>
      <c r="F57" s="14" t="n"/>
    </row>
    <row r="58">
      <c r="B58" s="12" t="inlineStr">
        <is>
          <t>Econotex/Recubritech fino 20 kg</t>
        </is>
      </c>
      <c r="C58" s="13" t="inlineStr">
        <is>
          <t>2 sacos</t>
        </is>
      </c>
      <c r="D58" s="14" t="n"/>
      <c r="E58" s="14" t="n"/>
      <c r="F58" s="14" t="n"/>
    </row>
    <row r="59">
      <c r="B59" s="12" t="inlineStr">
        <is>
          <t>BlueFence 20 lt (impermeabilizante)</t>
        </is>
      </c>
      <c r="C59" s="13" t="inlineStr">
        <is>
          <t>1 cubeta</t>
        </is>
      </c>
      <c r="D59" s="14" t="n"/>
      <c r="E59" s="14" t="n"/>
      <c r="F59" s="14" t="n"/>
    </row>
  </sheetData>
  <mergeCells count="8">
    <mergeCell ref="B43:F43"/>
    <mergeCell ref="B24:F24"/>
    <mergeCell ref="B2:F2"/>
    <mergeCell ref="B33:F33"/>
    <mergeCell ref="B3:F3"/>
    <mergeCell ref="B5:F5"/>
    <mergeCell ref="B14:F14"/>
    <mergeCell ref="B52:F5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  <cfRule type="cellIs" priority="5" operator="equal" dxfId="4">
      <formula>"POR LLEGAR"</formula>
    </cfRule>
  </conditionalFormatting>
  <conditionalFormatting sqref="E16:E22">
    <cfRule type="cellIs" priority="6" operator="equal" dxfId="0">
      <formula>"AGOTADO"</formula>
    </cfRule>
    <cfRule type="cellIs" priority="7" operator="equal" dxfId="1">
      <formula>"CRÍTICO"</formula>
    </cfRule>
    <cfRule type="cellIs" priority="8" operator="equal" dxfId="2">
      <formula>"BAJO"</formula>
    </cfRule>
    <cfRule type="cellIs" priority="9" operator="equal" dxfId="3">
      <formula>"OK"</formula>
    </cfRule>
    <cfRule type="cellIs" priority="10" operator="equal" dxfId="4">
      <formula>"POR LLEGAR"</formula>
    </cfRule>
  </conditionalFormatting>
  <conditionalFormatting sqref="E26:E31">
    <cfRule type="cellIs" priority="11" operator="equal" dxfId="0">
      <formula>"AGOTADO"</formula>
    </cfRule>
    <cfRule type="cellIs" priority="12" operator="equal" dxfId="1">
      <formula>"CRÍTICO"</formula>
    </cfRule>
    <cfRule type="cellIs" priority="13" operator="equal" dxfId="2">
      <formula>"BAJO"</formula>
    </cfRule>
    <cfRule type="cellIs" priority="14" operator="equal" dxfId="3">
      <formula>"OK"</formula>
    </cfRule>
    <cfRule type="cellIs" priority="15" operator="equal" dxfId="4">
      <formula>"POR LLEGAR"</formula>
    </cfRule>
  </conditionalFormatting>
  <conditionalFormatting sqref="E35:E41">
    <cfRule type="cellIs" priority="16" operator="equal" dxfId="0">
      <formula>"AGOTADO"</formula>
    </cfRule>
    <cfRule type="cellIs" priority="17" operator="equal" dxfId="1">
      <formula>"CRÍTICO"</formula>
    </cfRule>
    <cfRule type="cellIs" priority="18" operator="equal" dxfId="2">
      <formula>"BAJO"</formula>
    </cfRule>
    <cfRule type="cellIs" priority="19" operator="equal" dxfId="3">
      <formula>"OK"</formula>
    </cfRule>
    <cfRule type="cellIs" priority="20" operator="equal" dxfId="4">
      <formula>"POR LLEGAR"</formula>
    </cfRule>
  </conditionalFormatting>
  <conditionalFormatting sqref="E45:E50">
    <cfRule type="cellIs" priority="21" operator="equal" dxfId="0">
      <formula>"AGOTADO"</formula>
    </cfRule>
    <cfRule type="cellIs" priority="22" operator="equal" dxfId="1">
      <formula>"CRÍTICO"</formula>
    </cfRule>
    <cfRule type="cellIs" priority="23" operator="equal" dxfId="2">
      <formula>"BAJO"</formula>
    </cfRule>
    <cfRule type="cellIs" priority="24" operator="equal" dxfId="3">
      <formula>"OK"</formula>
    </cfRule>
    <cfRule type="cellIs" priority="25" operator="equal" dxfId="4">
      <formula>"POR LLEGAR"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34 MZA 14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inlineStr">
        <is>
          <t>30 abr</t>
        </is>
      </c>
      <c r="B7" s="22" t="inlineStr">
        <is>
          <t>Jesús Valdez</t>
        </is>
      </c>
      <c r="C7" s="23" t="n">
        <v>7</v>
      </c>
      <c r="D7" s="23" t="n"/>
      <c r="E7" s="23" t="n"/>
      <c r="F7" s="23" t="n">
        <v>5</v>
      </c>
      <c r="G7" s="23" t="n">
        <v>9</v>
      </c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01 may</t>
        </is>
      </c>
      <c r="B8" s="22" t="inlineStr">
        <is>
          <t>Jesús Valdez</t>
        </is>
      </c>
      <c r="C8" s="23" t="n"/>
      <c r="D8" s="23" t="n"/>
      <c r="E8" s="23" t="n"/>
      <c r="F8" s="23" t="n">
        <v>10</v>
      </c>
      <c r="G8" s="23" t="n">
        <v>10</v>
      </c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02 may</t>
        </is>
      </c>
      <c r="B9" s="22" t="inlineStr">
        <is>
          <t>Jesús Valdez</t>
        </is>
      </c>
      <c r="C9" s="23" t="n"/>
      <c r="D9" s="23" t="n"/>
      <c r="E9" s="23" t="n"/>
      <c r="F9" s="23" t="n">
        <v>4</v>
      </c>
      <c r="G9" s="23" t="n">
        <v>5</v>
      </c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05 may</t>
        </is>
      </c>
      <c r="B10" s="22" t="inlineStr">
        <is>
          <t>Jesús Valdez</t>
        </is>
      </c>
      <c r="C10" s="23" t="n">
        <v>5</v>
      </c>
      <c r="D10" s="23" t="n"/>
      <c r="E10" s="23" t="n"/>
      <c r="F10" s="23" t="n">
        <v>5</v>
      </c>
      <c r="G10" s="23" t="n">
        <v>10</v>
      </c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06 may</t>
        </is>
      </c>
      <c r="B11" s="22" t="inlineStr">
        <is>
          <t>Jesús Valdez</t>
        </is>
      </c>
      <c r="C11" s="23" t="n"/>
      <c r="D11" s="23" t="n"/>
      <c r="E11" s="23" t="n"/>
      <c r="F11" s="23" t="n">
        <v>3</v>
      </c>
      <c r="G11" s="23" t="n">
        <v>4</v>
      </c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07 may</t>
        </is>
      </c>
      <c r="B12" s="22" t="inlineStr">
        <is>
          <t>Jesús Valdez</t>
        </is>
      </c>
      <c r="C12" s="23" t="n">
        <v>5</v>
      </c>
      <c r="D12" s="23" t="n"/>
      <c r="E12" s="23" t="n"/>
      <c r="F12" s="23" t="n">
        <v>12</v>
      </c>
      <c r="G12" s="23" t="n">
        <v>10</v>
      </c>
      <c r="H12" s="23" t="n">
        <v>6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inlineStr">
        <is>
          <t>08 may</t>
        </is>
      </c>
      <c r="B13" s="22" t="inlineStr">
        <is>
          <t>Jesús Valdez</t>
        </is>
      </c>
      <c r="C13" s="23" t="n">
        <v>1</v>
      </c>
      <c r="D13" s="23" t="n"/>
      <c r="E13" s="23" t="n">
        <v>2</v>
      </c>
      <c r="F13" s="23" t="n">
        <v>2</v>
      </c>
      <c r="G13" s="23" t="n">
        <v>4</v>
      </c>
      <c r="H13" s="23" t="n">
        <v>2</v>
      </c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inlineStr">
        <is>
          <t>11 may</t>
        </is>
      </c>
      <c r="B14" s="22" t="inlineStr">
        <is>
          <t>Jesús Valdez</t>
        </is>
      </c>
      <c r="C14" s="23" t="n">
        <v>5</v>
      </c>
      <c r="D14" s="23" t="n">
        <v>1</v>
      </c>
      <c r="E14" s="23" t="n">
        <v>2</v>
      </c>
      <c r="F14" s="23" t="n"/>
      <c r="G14" s="23" t="n"/>
      <c r="H14" s="23" t="n">
        <v>5</v>
      </c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inlineStr">
        <is>
          <t>13 may</t>
        </is>
      </c>
      <c r="B15" s="22" t="inlineStr">
        <is>
          <t>Jesús Valdez</t>
        </is>
      </c>
      <c r="C15" s="23" t="n">
        <v>5</v>
      </c>
      <c r="D15" s="23" t="n">
        <v>1</v>
      </c>
      <c r="E15" s="23" t="n">
        <v>2</v>
      </c>
      <c r="F15" s="23" t="n"/>
      <c r="G15" s="23" t="n">
        <v>5</v>
      </c>
      <c r="H15" s="23" t="n">
        <v>3</v>
      </c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inlineStr">
        <is>
          <t>15 may</t>
        </is>
      </c>
      <c r="B16" s="22" t="inlineStr">
        <is>
          <t>Jesús Valdez</t>
        </is>
      </c>
      <c r="C16" s="23" t="n">
        <v>7</v>
      </c>
      <c r="D16" s="23" t="n"/>
      <c r="E16" s="23" t="n"/>
      <c r="F16" s="23" t="n"/>
      <c r="G16" s="23" t="n">
        <v>2</v>
      </c>
      <c r="H16" s="23" t="n">
        <v>2</v>
      </c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inlineStr">
        <is>
          <t>19 may</t>
        </is>
      </c>
      <c r="B17" s="22" t="inlineStr">
        <is>
          <t>Jaime</t>
        </is>
      </c>
      <c r="C17" s="23" t="n">
        <v>3</v>
      </c>
      <c r="D17" s="23" t="n">
        <v>1</v>
      </c>
      <c r="E17" s="23" t="n">
        <v>4</v>
      </c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inlineStr">
        <is>
          <t>20 may</t>
        </is>
      </c>
      <c r="B18" s="22" t="inlineStr">
        <is>
          <t>Jaime</t>
        </is>
      </c>
      <c r="C18" s="23" t="n"/>
      <c r="D18" s="23" t="n">
        <v>1</v>
      </c>
      <c r="E18" s="23" t="n">
        <v>4</v>
      </c>
      <c r="F18" s="23" t="n"/>
      <c r="G18" s="23" t="n">
        <v>4</v>
      </c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inlineStr">
        <is>
          <t>22 may</t>
        </is>
      </c>
      <c r="B19" s="22" t="inlineStr">
        <is>
          <t>Jaime</t>
        </is>
      </c>
      <c r="C19" s="23" t="n">
        <v>24</v>
      </c>
      <c r="D19" s="23" t="n">
        <v>2</v>
      </c>
      <c r="E19" s="23" t="n">
        <v>8</v>
      </c>
      <c r="F19" s="23" t="n"/>
      <c r="G19" s="23" t="n">
        <v>20</v>
      </c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inlineStr">
        <is>
          <t>01 jun</t>
        </is>
      </c>
      <c r="B20" s="22" t="inlineStr">
        <is>
          <t>Jesús Salmerón</t>
        </is>
      </c>
      <c r="C20" s="23" t="n">
        <v>8</v>
      </c>
      <c r="D20" s="23" t="n">
        <v>1</v>
      </c>
      <c r="E20" s="23" t="n">
        <v>2</v>
      </c>
      <c r="F20" s="23" t="n"/>
      <c r="G20" s="23" t="n">
        <v>2</v>
      </c>
      <c r="H20" s="23" t="n">
        <v>1</v>
      </c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inlineStr">
        <is>
          <t>02 jun</t>
        </is>
      </c>
      <c r="B21" s="22" t="inlineStr">
        <is>
          <t>Jesús Salmerón</t>
        </is>
      </c>
      <c r="C21" s="23" t="n">
        <v>9</v>
      </c>
      <c r="D21" s="23" t="n">
        <v>1</v>
      </c>
      <c r="E21" s="23" t="n">
        <v>2</v>
      </c>
      <c r="F21" s="23" t="n"/>
      <c r="G21" s="23" t="n">
        <v>2</v>
      </c>
      <c r="H21" s="23" t="n">
        <v>1</v>
      </c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inlineStr">
        <is>
          <t>03 jun</t>
        </is>
      </c>
      <c r="B22" s="22" t="inlineStr">
        <is>
          <t>Jesús Salmerón</t>
        </is>
      </c>
      <c r="C22" s="23" t="n">
        <v>10</v>
      </c>
      <c r="D22" s="23" t="n"/>
      <c r="E22" s="23" t="n">
        <v>2</v>
      </c>
      <c r="F22" s="23" t="n"/>
      <c r="G22" s="23" t="n">
        <v>2</v>
      </c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inlineStr">
        <is>
          <t>04 jun</t>
        </is>
      </c>
      <c r="B23" s="22" t="inlineStr">
        <is>
          <t>Jesús Salmerón</t>
        </is>
      </c>
      <c r="C23" s="23" t="n">
        <v>9</v>
      </c>
      <c r="D23" s="23" t="n"/>
      <c r="E23" s="23" t="n"/>
      <c r="F23" s="23" t="n"/>
      <c r="G23" s="23" t="n">
        <v>2</v>
      </c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inlineStr">
        <is>
          <t>05 jun</t>
        </is>
      </c>
      <c r="B24" s="22" t="inlineStr">
        <is>
          <t>Jesús Salmerón</t>
        </is>
      </c>
      <c r="C24" s="23" t="n">
        <v>8</v>
      </c>
      <c r="D24" s="23" t="n"/>
      <c r="E24" s="23" t="n"/>
      <c r="F24" s="23" t="n"/>
      <c r="G24" s="23" t="n">
        <v>1</v>
      </c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inlineStr">
        <is>
          <t>06 jun</t>
        </is>
      </c>
      <c r="B25" s="22" t="inlineStr">
        <is>
          <t>Jesús Salmerón</t>
        </is>
      </c>
      <c r="C25" s="23" t="n">
        <v>7</v>
      </c>
      <c r="D25" s="23" t="n"/>
      <c r="E25" s="23" t="n"/>
      <c r="F25" s="23" t="n"/>
      <c r="G25" s="23" t="n">
        <v>1</v>
      </c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inlineStr">
        <is>
          <t>22 jun</t>
        </is>
      </c>
      <c r="B26" s="22" t="inlineStr">
        <is>
          <t>Jesús Salmerón</t>
        </is>
      </c>
      <c r="C26" s="23" t="n">
        <v>2</v>
      </c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inlineStr">
        <is>
          <t>24 jun</t>
        </is>
      </c>
      <c r="B27" s="22" t="inlineStr">
        <is>
          <t>Jesús Salmerón</t>
        </is>
      </c>
      <c r="C27" s="23" t="n">
        <v>2</v>
      </c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inlineStr">
        <is>
          <t>★ Corte final</t>
        </is>
      </c>
      <c r="B28" s="22" t="inlineStr"/>
      <c r="C28" s="23" t="n"/>
      <c r="D28" s="23" t="n"/>
      <c r="E28" s="23" t="n"/>
      <c r="F28" s="23" t="n"/>
      <c r="G28" s="23" t="n"/>
      <c r="H28" s="23" t="n"/>
      <c r="I28" s="26">
        <f>I27-C28</f>
        <v/>
      </c>
      <c r="J28" s="26">
        <f>J27-D28</f>
        <v/>
      </c>
      <c r="K28" s="26">
        <f>K27-E28</f>
        <v/>
      </c>
      <c r="L28" s="26">
        <f>L27-F28</f>
        <v/>
      </c>
      <c r="M28" s="26">
        <f>M27-G28</f>
        <v/>
      </c>
      <c r="N28" s="26">
        <f>N27-H28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9 MZA 7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8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20 may</t>
        </is>
      </c>
      <c r="B7" s="22" t="inlineStr">
        <is>
          <t>Miguel Cortez</t>
        </is>
      </c>
      <c r="C7" s="23" t="n">
        <v>2</v>
      </c>
      <c r="D7" s="23" t="n"/>
      <c r="E7" s="23" t="n"/>
      <c r="F7" s="23" t="n">
        <v>5</v>
      </c>
      <c r="G7" s="23" t="n">
        <v>5</v>
      </c>
      <c r="H7" s="23" t="n">
        <v>3</v>
      </c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21 may</t>
        </is>
      </c>
      <c r="B8" s="22" t="inlineStr">
        <is>
          <t>Miguel Cortez</t>
        </is>
      </c>
      <c r="C8" s="23" t="n">
        <v>2</v>
      </c>
      <c r="D8" s="23" t="n"/>
      <c r="E8" s="23" t="n"/>
      <c r="F8" s="23" t="n">
        <v>5</v>
      </c>
      <c r="G8" s="23" t="n">
        <v>5</v>
      </c>
      <c r="H8" s="23" t="n">
        <v>3</v>
      </c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22 may</t>
        </is>
      </c>
      <c r="B9" s="22" t="inlineStr">
        <is>
          <t>Miguel Cortez</t>
        </is>
      </c>
      <c r="C9" s="23" t="n">
        <v>1</v>
      </c>
      <c r="D9" s="23" t="n"/>
      <c r="E9" s="23" t="n"/>
      <c r="F9" s="23" t="n">
        <v>4</v>
      </c>
      <c r="G9" s="23" t="n">
        <v>5</v>
      </c>
      <c r="H9" s="23" t="n">
        <v>2</v>
      </c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23 may</t>
        </is>
      </c>
      <c r="B10" s="22" t="inlineStr">
        <is>
          <t>Miguel Cortez</t>
        </is>
      </c>
      <c r="C10" s="23" t="n">
        <v>4</v>
      </c>
      <c r="D10" s="23" t="n"/>
      <c r="E10" s="23" t="n"/>
      <c r="F10" s="23" t="n">
        <v>7</v>
      </c>
      <c r="G10" s="23" t="n">
        <v>7</v>
      </c>
      <c r="H10" s="23" t="n">
        <v>4</v>
      </c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24 may (dom)</t>
        </is>
      </c>
      <c r="B11" s="22" t="inlineStr">
        <is>
          <t>Miguel Cortez</t>
        </is>
      </c>
      <c r="C11" s="23" t="n">
        <v>5</v>
      </c>
      <c r="D11" s="23" t="n"/>
      <c r="E11" s="23" t="n">
        <v>1</v>
      </c>
      <c r="F11" s="23" t="n">
        <v>9</v>
      </c>
      <c r="G11" s="23" t="n">
        <v>8</v>
      </c>
      <c r="H11" s="23" t="n">
        <v>5</v>
      </c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25 may</t>
        </is>
      </c>
      <c r="B12" s="22" t="inlineStr">
        <is>
          <t>Miguel Cortez</t>
        </is>
      </c>
      <c r="C12" s="23" t="n">
        <v>1</v>
      </c>
      <c r="D12" s="23" t="n">
        <v>1</v>
      </c>
      <c r="E12" s="23" t="n"/>
      <c r="F12" s="23" t="n">
        <v>5</v>
      </c>
      <c r="G12" s="23" t="n">
        <v>5</v>
      </c>
      <c r="H12" s="23" t="n">
        <v>2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inlineStr">
        <is>
          <t>26 may</t>
        </is>
      </c>
      <c r="B13" s="22" t="inlineStr">
        <is>
          <t>Miguel Cortez</t>
        </is>
      </c>
      <c r="C13" s="23" t="n">
        <v>1</v>
      </c>
      <c r="D13" s="23" t="n"/>
      <c r="E13" s="23" t="n">
        <v>1</v>
      </c>
      <c r="F13" s="23" t="n">
        <v>2</v>
      </c>
      <c r="G13" s="23" t="n">
        <v>5</v>
      </c>
      <c r="H13" s="23" t="n">
        <v>1</v>
      </c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inlineStr">
        <is>
          <t>01 jun</t>
        </is>
      </c>
      <c r="B14" s="22" t="inlineStr">
        <is>
          <t>Jesús Salmerón</t>
        </is>
      </c>
      <c r="C14" s="23" t="n">
        <v>6</v>
      </c>
      <c r="D14" s="23" t="n"/>
      <c r="E14" s="23" t="n"/>
      <c r="F14" s="23" t="n"/>
      <c r="G14" s="23" t="n"/>
      <c r="H14" s="23" t="n">
        <v>1</v>
      </c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inlineStr">
        <is>
          <t>02 jun</t>
        </is>
      </c>
      <c r="B15" s="22" t="inlineStr">
        <is>
          <t>Jesús Salmerón</t>
        </is>
      </c>
      <c r="C15" s="23" t="n">
        <v>5</v>
      </c>
      <c r="D15" s="23" t="n"/>
      <c r="E15" s="23" t="n"/>
      <c r="F15" s="23" t="n"/>
      <c r="G15" s="23" t="n"/>
      <c r="H15" s="23" t="n">
        <v>2</v>
      </c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inlineStr">
        <is>
          <t>03 jun</t>
        </is>
      </c>
      <c r="B16" s="22" t="inlineStr">
        <is>
          <t>Jesús Salmerón</t>
        </is>
      </c>
      <c r="C16" s="23" t="n">
        <v>3</v>
      </c>
      <c r="D16" s="23" t="n"/>
      <c r="E16" s="23" t="n"/>
      <c r="F16" s="23" t="n"/>
      <c r="G16" s="23" t="n"/>
      <c r="H16" s="23" t="n">
        <v>1</v>
      </c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inlineStr">
        <is>
          <t>04 jun</t>
        </is>
      </c>
      <c r="B17" s="22" t="inlineStr">
        <is>
          <t>Jesús Salmerón</t>
        </is>
      </c>
      <c r="C17" s="23" t="n">
        <v>4</v>
      </c>
      <c r="D17" s="23" t="n"/>
      <c r="E17" s="23" t="n"/>
      <c r="F17" s="23" t="n"/>
      <c r="G17" s="23" t="n"/>
      <c r="H17" s="23" t="n">
        <v>1</v>
      </c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inlineStr">
        <is>
          <t>05 jun</t>
        </is>
      </c>
      <c r="B18" s="22" t="inlineStr">
        <is>
          <t>Jesús Salmerón</t>
        </is>
      </c>
      <c r="C18" s="23" t="n">
        <v>5</v>
      </c>
      <c r="D18" s="23" t="n"/>
      <c r="E18" s="23" t="n"/>
      <c r="F18" s="23" t="n"/>
      <c r="G18" s="23" t="n"/>
      <c r="H18" s="23" t="n">
        <v>2</v>
      </c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inlineStr">
        <is>
          <t>06 jun</t>
        </is>
      </c>
      <c r="B19" s="22" t="inlineStr">
        <is>
          <t>Jesús Salmerón</t>
        </is>
      </c>
      <c r="C19" s="23" t="n">
        <v>4</v>
      </c>
      <c r="D19" s="23" t="n"/>
      <c r="E19" s="23" t="n"/>
      <c r="F19" s="23" t="n"/>
      <c r="G19" s="23" t="n"/>
      <c r="H19" s="23" t="n">
        <v>1</v>
      </c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inlineStr">
        <is>
          <t>08 jun</t>
        </is>
      </c>
      <c r="B20" s="22" t="inlineStr">
        <is>
          <t>Jesús Salmerón</t>
        </is>
      </c>
      <c r="C20" s="23" t="n">
        <v>10</v>
      </c>
      <c r="D20" s="23" t="n"/>
      <c r="E20" s="23" t="n"/>
      <c r="F20" s="23" t="n"/>
      <c r="G20" s="23" t="n">
        <v>4</v>
      </c>
      <c r="H20" s="23" t="n">
        <v>1</v>
      </c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inlineStr">
        <is>
          <t>09 jun</t>
        </is>
      </c>
      <c r="B21" s="22" t="inlineStr">
        <is>
          <t>Jesús Salmerón</t>
        </is>
      </c>
      <c r="C21" s="23" t="n">
        <v>10</v>
      </c>
      <c r="D21" s="23" t="n">
        <v>1</v>
      </c>
      <c r="E21" s="23" t="n"/>
      <c r="F21" s="23" t="n"/>
      <c r="G21" s="23" t="n">
        <v>4</v>
      </c>
      <c r="H21" s="23" t="n">
        <v>1</v>
      </c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inlineStr">
        <is>
          <t>10 jun</t>
        </is>
      </c>
      <c r="B22" s="22" t="inlineStr">
        <is>
          <t>Jesús Salmerón</t>
        </is>
      </c>
      <c r="C22" s="23" t="n">
        <v>8</v>
      </c>
      <c r="D22" s="23" t="n"/>
      <c r="E22" s="23" t="n">
        <v>1</v>
      </c>
      <c r="F22" s="23" t="n"/>
      <c r="G22" s="23" t="n">
        <v>4</v>
      </c>
      <c r="H22" s="23" t="n">
        <v>1</v>
      </c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inlineStr">
        <is>
          <t>12 jun</t>
        </is>
      </c>
      <c r="B23" s="22" t="inlineStr">
        <is>
          <t>Jesús Salmerón</t>
        </is>
      </c>
      <c r="C23" s="23" t="n">
        <v>6</v>
      </c>
      <c r="D23" s="23" t="n">
        <v>1</v>
      </c>
      <c r="E23" s="23" t="n"/>
      <c r="F23" s="23" t="n"/>
      <c r="G23" s="23" t="n">
        <v>4</v>
      </c>
      <c r="H23" s="23" t="n">
        <v>1</v>
      </c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inlineStr">
        <is>
          <t>16 jun</t>
        </is>
      </c>
      <c r="B24" s="22" t="inlineStr">
        <is>
          <t>Jesús Salmerón</t>
        </is>
      </c>
      <c r="C24" s="23" t="n">
        <v>3</v>
      </c>
      <c r="D24" s="23" t="n">
        <v>1</v>
      </c>
      <c r="E24" s="23" t="n"/>
      <c r="F24" s="23" t="n"/>
      <c r="G24" s="23" t="n">
        <v>3</v>
      </c>
      <c r="H24" s="23" t="n">
        <v>1</v>
      </c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inlineStr">
        <is>
          <t>17 jun</t>
        </is>
      </c>
      <c r="B25" s="22" t="inlineStr">
        <is>
          <t>Jesús Salmerón</t>
        </is>
      </c>
      <c r="C25" s="23" t="n">
        <v>3</v>
      </c>
      <c r="D25" s="23" t="n">
        <v>1</v>
      </c>
      <c r="E25" s="23" t="n"/>
      <c r="F25" s="23" t="n"/>
      <c r="G25" s="23" t="n">
        <v>4</v>
      </c>
      <c r="H25" s="23" t="n">
        <v>2</v>
      </c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inlineStr">
        <is>
          <t>18 jun</t>
        </is>
      </c>
      <c r="B26" s="22" t="inlineStr">
        <is>
          <t>Jesús Salmerón</t>
        </is>
      </c>
      <c r="C26" s="23" t="n">
        <v>3</v>
      </c>
      <c r="D26" s="23" t="n">
        <v>1</v>
      </c>
      <c r="E26" s="23" t="n">
        <v>1</v>
      </c>
      <c r="F26" s="23" t="n"/>
      <c r="G26" s="23" t="n">
        <v>4</v>
      </c>
      <c r="H26" s="23" t="n">
        <v>1</v>
      </c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inlineStr">
        <is>
          <t>23 jun</t>
        </is>
      </c>
      <c r="B27" s="22" t="inlineStr">
        <is>
          <t>Jesús Salmerón</t>
        </is>
      </c>
      <c r="C27" s="23" t="n">
        <v>4</v>
      </c>
      <c r="D27" s="23" t="n"/>
      <c r="E27" s="23" t="n"/>
      <c r="F27" s="23" t="n"/>
      <c r="G27" s="23" t="n">
        <v>4</v>
      </c>
      <c r="H27" s="23" t="n">
        <v>1</v>
      </c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inlineStr">
        <is>
          <t>24 jun</t>
        </is>
      </c>
      <c r="B28" s="22" t="inlineStr">
        <is>
          <t>Jesús Salmerón</t>
        </is>
      </c>
      <c r="C28" s="23" t="n">
        <v>4</v>
      </c>
      <c r="D28" s="23" t="n">
        <v>1</v>
      </c>
      <c r="E28" s="23" t="n"/>
      <c r="F28" s="23" t="n"/>
      <c r="G28" s="23" t="n">
        <v>4</v>
      </c>
      <c r="H28" s="23" t="n">
        <v>1</v>
      </c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inlineStr">
        <is>
          <t>26 jun</t>
        </is>
      </c>
      <c r="B29" s="22" t="inlineStr">
        <is>
          <t>Jesús Salmerón</t>
        </is>
      </c>
      <c r="C29" s="23" t="n">
        <v>3</v>
      </c>
      <c r="D29" s="23" t="n">
        <v>1</v>
      </c>
      <c r="E29" s="23" t="n"/>
      <c r="F29" s="23" t="n"/>
      <c r="G29" s="23" t="n">
        <v>3</v>
      </c>
      <c r="H29" s="23" t="n">
        <v>1</v>
      </c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inlineStr">
        <is>
          <t>★ Corte final</t>
        </is>
      </c>
      <c r="B30" s="22" t="inlineStr">
        <is>
          <t>Jesús Salmerón</t>
        </is>
      </c>
      <c r="C30" s="23" t="n">
        <v>1</v>
      </c>
      <c r="D30" s="23" t="n"/>
      <c r="E30" s="23" t="n"/>
      <c r="F30" s="23" t="n"/>
      <c r="G30" s="23" t="n">
        <v>1</v>
      </c>
      <c r="H30" s="23" t="n"/>
      <c r="I30" s="26">
        <f>I29-C30</f>
        <v/>
      </c>
      <c r="J30" s="26">
        <f>J29-D30</f>
        <v/>
      </c>
      <c r="K30" s="26">
        <f>K29-E30</f>
        <v/>
      </c>
      <c r="L30" s="26">
        <f>L29-F30</f>
        <v/>
      </c>
      <c r="M30" s="26">
        <f>M29-G30</f>
        <v/>
      </c>
      <c r="N30" s="26">
        <f>N29-H30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3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10 MZA 7 (ACTIVO)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7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15 jun</t>
        </is>
      </c>
      <c r="B7" s="22" t="inlineStr">
        <is>
          <t>Jesús Salmerón</t>
        </is>
      </c>
      <c r="C7" s="23" t="n">
        <v>10</v>
      </c>
      <c r="D7" s="23" t="n"/>
      <c r="E7" s="23" t="n"/>
      <c r="F7" s="23" t="n">
        <v>8</v>
      </c>
      <c r="G7" s="23" t="n">
        <v>8</v>
      </c>
      <c r="H7" s="23" t="n">
        <v>5</v>
      </c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16 jun</t>
        </is>
      </c>
      <c r="B8" s="22" t="inlineStr">
        <is>
          <t>Jesús Salmerón</t>
        </is>
      </c>
      <c r="C8" s="23" t="n">
        <v>10</v>
      </c>
      <c r="D8" s="23" t="n"/>
      <c r="E8" s="23" t="n"/>
      <c r="F8" s="23" t="n">
        <v>8</v>
      </c>
      <c r="G8" s="23" t="n">
        <v>8</v>
      </c>
      <c r="H8" s="23" t="n">
        <v>5</v>
      </c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17 jun</t>
        </is>
      </c>
      <c r="B9" s="22" t="inlineStr">
        <is>
          <t>Jesús Salmerón</t>
        </is>
      </c>
      <c r="C9" s="23" t="n">
        <v>10</v>
      </c>
      <c r="D9" s="23" t="n"/>
      <c r="E9" s="23" t="n"/>
      <c r="F9" s="23" t="n">
        <v>7</v>
      </c>
      <c r="G9" s="23" t="n">
        <v>7</v>
      </c>
      <c r="H9" s="23" t="n">
        <v>4</v>
      </c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18 jun</t>
        </is>
      </c>
      <c r="B10" s="22" t="inlineStr">
        <is>
          <t>Jesús Salmerón</t>
        </is>
      </c>
      <c r="C10" s="23" t="n">
        <v>8</v>
      </c>
      <c r="D10" s="23" t="n"/>
      <c r="E10" s="23" t="n"/>
      <c r="F10" s="23" t="n">
        <v>6</v>
      </c>
      <c r="G10" s="23" t="n">
        <v>6</v>
      </c>
      <c r="H10" s="23" t="n">
        <v>4</v>
      </c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23 jun</t>
        </is>
      </c>
      <c r="B11" s="22" t="inlineStr">
        <is>
          <t>Jesús Salmerón</t>
        </is>
      </c>
      <c r="C11" s="23" t="n">
        <v>6</v>
      </c>
      <c r="D11" s="23" t="n"/>
      <c r="E11" s="23" t="n">
        <v>4</v>
      </c>
      <c r="F11" s="23" t="n">
        <v>4</v>
      </c>
      <c r="G11" s="23" t="n">
        <v>5</v>
      </c>
      <c r="H11" s="23" t="n">
        <v>4</v>
      </c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24 jun · saldo actual</t>
        </is>
      </c>
      <c r="B12" s="22" t="inlineStr">
        <is>
          <t>Jesús Salmerón</t>
        </is>
      </c>
      <c r="C12" s="23" t="n">
        <v>6</v>
      </c>
      <c r="D12" s="23" t="n"/>
      <c r="E12" s="23" t="n">
        <v>4</v>
      </c>
      <c r="F12" s="23" t="n">
        <v>4</v>
      </c>
      <c r="G12" s="23" t="n">
        <v>4</v>
      </c>
      <c r="H12" s="23" t="n">
        <v>3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n"/>
      <c r="B13" s="22" t="n"/>
      <c r="C13" s="23" t="n"/>
      <c r="D13" s="23" t="n"/>
      <c r="E13" s="23" t="n"/>
      <c r="F13" s="23" t="n"/>
      <c r="G13" s="23" t="n"/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>
        <f>M29-G30</f>
        <v/>
      </c>
      <c r="N30" s="25">
        <f>N29-H30</f>
        <v/>
      </c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>
        <f>M30-G31</f>
        <v/>
      </c>
      <c r="N31" s="25">
        <f>N30-H31</f>
        <v/>
      </c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>
        <f>M31-G32</f>
        <v/>
      </c>
      <c r="N32" s="25">
        <f>N31-H32</f>
        <v/>
      </c>
    </row>
    <row r="33">
      <c r="A33" s="21" t="inlineStr">
        <is>
          <t>★ Corte final (al cerrar lote)</t>
        </is>
      </c>
      <c r="B33" s="22" t="inlineStr"/>
      <c r="C33" s="23" t="n"/>
      <c r="D33" s="23" t="n"/>
      <c r="E33" s="23" t="n"/>
      <c r="F33" s="23" t="n"/>
      <c r="G33" s="23" t="n"/>
      <c r="H33" s="23" t="n"/>
      <c r="I33" s="26">
        <f>I32-C33</f>
        <v/>
      </c>
      <c r="J33" s="26">
        <f>J32-D33</f>
        <v/>
      </c>
      <c r="K33" s="26">
        <f>K32-E33</f>
        <v/>
      </c>
      <c r="L33" s="26">
        <f>L32-F33</f>
        <v/>
      </c>
      <c r="M33" s="26">
        <f>M32-G33</f>
        <v/>
      </c>
      <c r="N33" s="26">
        <f>N32-H33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33 MZA 14 (CABERNET · POR LLEGAR)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n"/>
      <c r="B7" s="22" t="n"/>
      <c r="C7" s="23" t="n"/>
      <c r="D7" s="23" t="n"/>
      <c r="E7" s="23" t="n"/>
      <c r="F7" s="23" t="n"/>
      <c r="G7" s="23" t="n"/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n"/>
      <c r="B8" s="22" t="n"/>
      <c r="C8" s="23" t="n"/>
      <c r="D8" s="23" t="n"/>
      <c r="E8" s="23" t="n"/>
      <c r="F8" s="23" t="n"/>
      <c r="G8" s="23" t="n"/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n"/>
      <c r="B9" s="22" t="n"/>
      <c r="C9" s="23" t="n"/>
      <c r="D9" s="23" t="n"/>
      <c r="E9" s="23" t="n"/>
      <c r="F9" s="23" t="n"/>
      <c r="G9" s="23" t="n"/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n"/>
      <c r="B10" s="22" t="n"/>
      <c r="C10" s="23" t="n"/>
      <c r="D10" s="23" t="n"/>
      <c r="E10" s="23" t="n"/>
      <c r="F10" s="23" t="n"/>
      <c r="G10" s="23" t="n"/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n"/>
      <c r="B11" s="22" t="n"/>
      <c r="C11" s="23" t="n"/>
      <c r="D11" s="23" t="n"/>
      <c r="E11" s="23" t="n"/>
      <c r="F11" s="23" t="n"/>
      <c r="G11" s="23" t="n"/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n"/>
      <c r="B12" s="22" t="n"/>
      <c r="C12" s="23" t="n"/>
      <c r="D12" s="23" t="n"/>
      <c r="E12" s="23" t="n"/>
      <c r="F12" s="23" t="n"/>
      <c r="G12" s="23" t="n"/>
      <c r="H12" s="23" t="n"/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n"/>
      <c r="B13" s="22" t="n"/>
      <c r="C13" s="23" t="n"/>
      <c r="D13" s="23" t="n"/>
      <c r="E13" s="23" t="n"/>
      <c r="F13" s="23" t="n"/>
      <c r="G13" s="23" t="n"/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>
        <f>M29-G30</f>
        <v/>
      </c>
      <c r="N30" s="25">
        <f>N29-H30</f>
        <v/>
      </c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>
        <f>M30-G31</f>
        <v/>
      </c>
      <c r="N31" s="25">
        <f>N30-H31</f>
        <v/>
      </c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>
        <f>M31-G32</f>
        <v/>
      </c>
      <c r="N32" s="25">
        <f>N31-H32</f>
        <v/>
      </c>
    </row>
    <row r="33">
      <c r="A33" s="21" t="n"/>
      <c r="B33" s="22" t="n"/>
      <c r="C33" s="23" t="n"/>
      <c r="D33" s="23" t="n"/>
      <c r="E33" s="23" t="n"/>
      <c r="F33" s="23" t="n"/>
      <c r="G33" s="23" t="n"/>
      <c r="H33" s="23" t="n"/>
      <c r="I33" s="25">
        <f>I32-C33</f>
        <v/>
      </c>
      <c r="J33" s="25">
        <f>J32-D33</f>
        <v/>
      </c>
      <c r="K33" s="25">
        <f>K32-E33</f>
        <v/>
      </c>
      <c r="L33" s="25">
        <f>L32-F33</f>
        <v/>
      </c>
      <c r="M33" s="25">
        <f>M32-G33</f>
        <v/>
      </c>
      <c r="N33" s="25">
        <f>N32-H33</f>
        <v/>
      </c>
    </row>
    <row r="34">
      <c r="A34" s="21" t="n"/>
      <c r="B34" s="22" t="n"/>
      <c r="C34" s="23" t="n"/>
      <c r="D34" s="23" t="n"/>
      <c r="E34" s="23" t="n"/>
      <c r="F34" s="23" t="n"/>
      <c r="G34" s="23" t="n"/>
      <c r="H34" s="23" t="n"/>
      <c r="I34" s="25">
        <f>I33-C34</f>
        <v/>
      </c>
      <c r="J34" s="25">
        <f>J33-D34</f>
        <v/>
      </c>
      <c r="K34" s="25">
        <f>K33-E34</f>
        <v/>
      </c>
      <c r="L34" s="25">
        <f>L33-F34</f>
        <v/>
      </c>
      <c r="M34" s="25">
        <f>M33-G34</f>
        <v/>
      </c>
      <c r="N34" s="25">
        <f>N33-H34</f>
        <v/>
      </c>
    </row>
    <row r="35">
      <c r="A35" s="21" t="n"/>
      <c r="B35" s="22" t="n"/>
      <c r="C35" s="23" t="n"/>
      <c r="D35" s="23" t="n"/>
      <c r="E35" s="23" t="n"/>
      <c r="F35" s="23" t="n"/>
      <c r="G35" s="23" t="n"/>
      <c r="H35" s="23" t="n"/>
      <c r="I35" s="25">
        <f>I34-C35</f>
        <v/>
      </c>
      <c r="J35" s="25">
        <f>J34-D35</f>
        <v/>
      </c>
      <c r="K35" s="25">
        <f>K34-E35</f>
        <v/>
      </c>
      <c r="L35" s="25">
        <f>L34-F35</f>
        <v/>
      </c>
      <c r="M35" s="25">
        <f>M34-G35</f>
        <v/>
      </c>
      <c r="N35" s="25">
        <f>N34-H35</f>
        <v/>
      </c>
    </row>
    <row r="36">
      <c r="A36" s="21" t="n"/>
      <c r="B36" s="22" t="n"/>
      <c r="C36" s="23" t="n"/>
      <c r="D36" s="23" t="n"/>
      <c r="E36" s="23" t="n"/>
      <c r="F36" s="23" t="n"/>
      <c r="G36" s="23" t="n"/>
      <c r="H36" s="23" t="n"/>
      <c r="I36" s="25">
        <f>I35-C36</f>
        <v/>
      </c>
      <c r="J36" s="25">
        <f>J35-D36</f>
        <v/>
      </c>
      <c r="K36" s="25">
        <f>K35-E36</f>
        <v/>
      </c>
      <c r="L36" s="25">
        <f>L35-F36</f>
        <v/>
      </c>
      <c r="M36" s="25">
        <f>M35-G36</f>
        <v/>
      </c>
      <c r="N36" s="25">
        <f>N35-H36</f>
        <v/>
      </c>
    </row>
    <row r="37">
      <c r="A37" s="21" t="inlineStr">
        <is>
          <t>★ Corte final (al cerrar lote)</t>
        </is>
      </c>
      <c r="B37" s="22" t="inlineStr"/>
      <c r="C37" s="23" t="n"/>
      <c r="D37" s="23" t="n"/>
      <c r="E37" s="23" t="n"/>
      <c r="F37" s="23" t="n"/>
      <c r="G37" s="23" t="n"/>
      <c r="H37" s="23" t="n"/>
      <c r="I37" s="26">
        <f>I36-C37</f>
        <v/>
      </c>
      <c r="J37" s="26">
        <f>J36-D37</f>
        <v/>
      </c>
      <c r="K37" s="26">
        <f>K36-E37</f>
        <v/>
      </c>
      <c r="L37" s="26">
        <f>L36-F37</f>
        <v/>
      </c>
      <c r="M37" s="26">
        <f>M36-G37</f>
        <v/>
      </c>
      <c r="N37" s="26">
        <f>N36-H37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19 MZA 7 (CHARDONNAY · POR LLEGAR)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127</v>
      </c>
      <c r="J6" s="24" t="n">
        <v>8</v>
      </c>
      <c r="K6" s="24" t="n">
        <v>28</v>
      </c>
      <c r="L6" s="24" t="n">
        <v>32</v>
      </c>
      <c r="M6" s="24" t="n"/>
      <c r="N6" s="24" t="n"/>
    </row>
    <row r="7">
      <c r="A7" s="21" t="n"/>
      <c r="B7" s="22" t="n"/>
      <c r="C7" s="23" t="n"/>
      <c r="D7" s="23" t="n"/>
      <c r="E7" s="23" t="n"/>
      <c r="F7" s="23" t="n"/>
      <c r="G7" s="23" t="n"/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 t="n"/>
      <c r="N7" s="25" t="n"/>
    </row>
    <row r="8">
      <c r="A8" s="21" t="n"/>
      <c r="B8" s="22" t="n"/>
      <c r="C8" s="23" t="n"/>
      <c r="D8" s="23" t="n"/>
      <c r="E8" s="23" t="n"/>
      <c r="F8" s="23" t="n"/>
      <c r="G8" s="23" t="n"/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 t="n"/>
      <c r="N8" s="25" t="n"/>
    </row>
    <row r="9">
      <c r="A9" s="21" t="n"/>
      <c r="B9" s="22" t="n"/>
      <c r="C9" s="23" t="n"/>
      <c r="D9" s="23" t="n"/>
      <c r="E9" s="23" t="n"/>
      <c r="F9" s="23" t="n"/>
      <c r="G9" s="23" t="n"/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 t="n"/>
      <c r="N9" s="25" t="n"/>
    </row>
    <row r="10">
      <c r="A10" s="21" t="n"/>
      <c r="B10" s="22" t="n"/>
      <c r="C10" s="23" t="n"/>
      <c r="D10" s="23" t="n"/>
      <c r="E10" s="23" t="n"/>
      <c r="F10" s="23" t="n"/>
      <c r="G10" s="23" t="n"/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 t="n"/>
      <c r="N10" s="25" t="n"/>
    </row>
    <row r="11">
      <c r="A11" s="21" t="n"/>
      <c r="B11" s="22" t="n"/>
      <c r="C11" s="23" t="n"/>
      <c r="D11" s="23" t="n"/>
      <c r="E11" s="23" t="n"/>
      <c r="F11" s="23" t="n"/>
      <c r="G11" s="23" t="n"/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 t="n"/>
      <c r="N11" s="25" t="n"/>
    </row>
    <row r="12">
      <c r="A12" s="21" t="n"/>
      <c r="B12" s="22" t="n"/>
      <c r="C12" s="23" t="n"/>
      <c r="D12" s="23" t="n"/>
      <c r="E12" s="23" t="n"/>
      <c r="F12" s="23" t="n"/>
      <c r="G12" s="23" t="n"/>
      <c r="H12" s="23" t="n"/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 t="n"/>
      <c r="N12" s="25" t="n"/>
    </row>
    <row r="13">
      <c r="A13" s="21" t="n"/>
      <c r="B13" s="22" t="n"/>
      <c r="C13" s="23" t="n"/>
      <c r="D13" s="23" t="n"/>
      <c r="E13" s="23" t="n"/>
      <c r="F13" s="23" t="n"/>
      <c r="G13" s="23" t="n"/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 t="n"/>
      <c r="N13" s="25" t="n"/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 t="n"/>
      <c r="N14" s="25" t="n"/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 t="n"/>
      <c r="N15" s="25" t="n"/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 t="n"/>
      <c r="N16" s="25" t="n"/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 t="n"/>
      <c r="N17" s="25" t="n"/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 t="n"/>
      <c r="N18" s="25" t="n"/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 t="n"/>
      <c r="N19" s="25" t="n"/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 t="n"/>
      <c r="N20" s="25" t="n"/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 t="n"/>
      <c r="N21" s="25" t="n"/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 t="n"/>
      <c r="N22" s="25" t="n"/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 t="n"/>
      <c r="N23" s="25" t="n"/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 t="n"/>
      <c r="N24" s="25" t="n"/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 t="n"/>
      <c r="N25" s="25" t="n"/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 t="n"/>
      <c r="N26" s="25" t="n"/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 t="n"/>
      <c r="N27" s="25" t="n"/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 t="n"/>
      <c r="N28" s="25" t="n"/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 t="n"/>
      <c r="N29" s="25" t="n"/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 t="n"/>
      <c r="N30" s="25" t="n"/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 t="n"/>
      <c r="N31" s="25" t="n"/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 t="n"/>
      <c r="N32" s="25" t="n"/>
    </row>
    <row r="33">
      <c r="A33" s="21" t="n"/>
      <c r="B33" s="22" t="n"/>
      <c r="C33" s="23" t="n"/>
      <c r="D33" s="23" t="n"/>
      <c r="E33" s="23" t="n"/>
      <c r="F33" s="23" t="n"/>
      <c r="G33" s="23" t="n"/>
      <c r="H33" s="23" t="n"/>
      <c r="I33" s="25">
        <f>I32-C33</f>
        <v/>
      </c>
      <c r="J33" s="25">
        <f>J32-D33</f>
        <v/>
      </c>
      <c r="K33" s="25">
        <f>K32-E33</f>
        <v/>
      </c>
      <c r="L33" s="25">
        <f>L32-F33</f>
        <v/>
      </c>
      <c r="M33" s="25" t="n"/>
      <c r="N33" s="25" t="n"/>
    </row>
    <row r="34">
      <c r="A34" s="21" t="n"/>
      <c r="B34" s="22" t="n"/>
      <c r="C34" s="23" t="n"/>
      <c r="D34" s="23" t="n"/>
      <c r="E34" s="23" t="n"/>
      <c r="F34" s="23" t="n"/>
      <c r="G34" s="23" t="n"/>
      <c r="H34" s="23" t="n"/>
      <c r="I34" s="25">
        <f>I33-C34</f>
        <v/>
      </c>
      <c r="J34" s="25">
        <f>J33-D34</f>
        <v/>
      </c>
      <c r="K34" s="25">
        <f>K33-E34</f>
        <v/>
      </c>
      <c r="L34" s="25">
        <f>L33-F34</f>
        <v/>
      </c>
      <c r="M34" s="25" t="n"/>
      <c r="N34" s="25" t="n"/>
    </row>
    <row r="35">
      <c r="A35" s="21" t="n"/>
      <c r="B35" s="22" t="n"/>
      <c r="C35" s="23" t="n"/>
      <c r="D35" s="23" t="n"/>
      <c r="E35" s="23" t="n"/>
      <c r="F35" s="23" t="n"/>
      <c r="G35" s="23" t="n"/>
      <c r="H35" s="23" t="n"/>
      <c r="I35" s="25">
        <f>I34-C35</f>
        <v/>
      </c>
      <c r="J35" s="25">
        <f>J34-D35</f>
        <v/>
      </c>
      <c r="K35" s="25">
        <f>K34-E35</f>
        <v/>
      </c>
      <c r="L35" s="25">
        <f>L34-F35</f>
        <v/>
      </c>
      <c r="M35" s="25" t="n"/>
      <c r="N35" s="25" t="n"/>
    </row>
    <row r="36">
      <c r="A36" s="21" t="n"/>
      <c r="B36" s="22" t="n"/>
      <c r="C36" s="23" t="n"/>
      <c r="D36" s="23" t="n"/>
      <c r="E36" s="23" t="n"/>
      <c r="F36" s="23" t="n"/>
      <c r="G36" s="23" t="n"/>
      <c r="H36" s="23" t="n"/>
      <c r="I36" s="25">
        <f>I35-C36</f>
        <v/>
      </c>
      <c r="J36" s="25">
        <f>J35-D36</f>
        <v/>
      </c>
      <c r="K36" s="25">
        <f>K35-E36</f>
        <v/>
      </c>
      <c r="L36" s="25">
        <f>L35-F36</f>
        <v/>
      </c>
      <c r="M36" s="25" t="n"/>
      <c r="N36" s="25" t="n"/>
    </row>
    <row r="37">
      <c r="A37" s="21" t="inlineStr">
        <is>
          <t>★ Corte final (al cerrar lote)</t>
        </is>
      </c>
      <c r="B37" s="22" t="inlineStr"/>
      <c r="C37" s="23" t="n"/>
      <c r="D37" s="23" t="n"/>
      <c r="E37" s="23" t="n"/>
      <c r="F37" s="23" t="n"/>
      <c r="G37" s="23" t="n"/>
      <c r="H37" s="23" t="n"/>
      <c r="I37" s="26">
        <f>I36-C37</f>
        <v/>
      </c>
      <c r="J37" s="26">
        <f>J36-D37</f>
        <v/>
      </c>
      <c r="K37" s="26">
        <f>K36-E37</f>
        <v/>
      </c>
      <c r="L37" s="26">
        <f>L36-F37</f>
        <v/>
      </c>
      <c r="M37" s="26" t="n"/>
      <c r="N37" s="26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2026-06-29T00:20:50Z</dcterms:created>
  <dcterms:modified xsi:type="dcterms:W3CDTF">2026-06-29T00:20:50Z</dcterms:modified>
</cp:coreProperties>
</file>