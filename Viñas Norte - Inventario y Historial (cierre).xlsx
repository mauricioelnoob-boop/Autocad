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ctual" sheetId="1" state="visible" r:id="rId1"/>
    <sheet name="Historial Lote 34" sheetId="2" state="visible" r:id="rId2"/>
    <sheet name="Historial Lote 9" sheetId="3" state="visible" r:id="rId3"/>
    <sheet name="Historial Lote 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EF3C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1E8449"/>
      </font>
      <fill>
        <patternFill patternType="solid">
          <fgColor rgb="00D5F5E3"/>
        </patternFill>
      </fill>
    </dxf>
    <dxf>
      <font>
        <b val="1"/>
        <color rgb="00B7950B"/>
      </font>
      <fill>
        <patternFill patternType="solid">
          <fgColor rgb="00FCF3CF"/>
        </patternFill>
      </fill>
    </dxf>
    <dxf>
      <font>
        <b val="1"/>
        <color rgb="00922B21"/>
      </font>
      <fill>
        <patternFill patternType="solid">
          <fgColor rgb="00F5B7B1"/>
        </patternFill>
      </fill>
    </dxf>
    <dxf>
      <font>
        <b val="1"/>
        <color rgb="00566573"/>
      </font>
      <fill>
        <patternFill patternType="solid">
          <fgColor rgb="00D5D8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9" customWidth="1" min="3" max="3"/>
    <col width="9" customWidth="1" min="4" max="4"/>
    <col width="11" customWidth="1" min="5" max="5"/>
    <col width="18" customWidth="1" min="6" max="6"/>
  </cols>
  <sheetData>
    <row r="2">
      <c r="B2" s="1" t="inlineStr">
        <is>
          <t>INVENTARIO DE ALMACÉN — VITROPISOS</t>
        </is>
      </c>
    </row>
    <row r="3">
      <c r="B3" s="2" t="inlineStr">
        <is>
          <t>Estado actual por lote · Actualizado a junio 2026</t>
        </is>
      </c>
    </row>
    <row r="5">
      <c r="B5" s="3" t="inlineStr">
        <is>
          <t>📦  LOTE 10 (MERLOT) MZA 7   ·   ACTIVO</t>
        </is>
      </c>
    </row>
    <row r="6">
      <c r="B6" s="4" t="inlineStr">
        <is>
          <t>Material</t>
        </is>
      </c>
      <c r="C6" s="4" t="inlineStr">
        <is>
          <t>Inicial</t>
        </is>
      </c>
      <c r="D6" s="4" t="inlineStr">
        <is>
          <t>Actual</t>
        </is>
      </c>
      <c r="E6" s="4" t="inlineStr">
        <is>
          <t>Estado</t>
        </is>
      </c>
      <c r="F6" s="4" t="inlineStr">
        <is>
          <t>Notas</t>
        </is>
      </c>
    </row>
    <row r="7">
      <c r="B7" s="5" t="inlineStr">
        <is>
          <t>Piso Moret</t>
        </is>
      </c>
      <c r="C7" s="6" t="n">
        <v>98</v>
      </c>
      <c r="D7" s="7" t="n">
        <v>48</v>
      </c>
      <c r="E7" s="8">
        <f>IF(D7=0,"AGOTADO",IF(D7/C7&lt;=0.15,"CRÍTICO",IF(D7/C7&lt;=0.4,"BAJO","OK")))</f>
        <v/>
      </c>
      <c r="F7" s="5" t="n"/>
    </row>
    <row r="8">
      <c r="B8" s="5" t="inlineStr">
        <is>
          <t>Royal Walnut (duela)</t>
        </is>
      </c>
      <c r="C8" s="6" t="n">
        <v>37</v>
      </c>
      <c r="D8" s="7" t="n">
        <v>0</v>
      </c>
      <c r="E8" s="8">
        <f>IF(D8=0,"AGOTADO",IF(D8/C8&lt;=0.15,"CRÍTICO",IF(D8/C8&lt;=0.4,"BAJO","OK")))</f>
        <v/>
      </c>
      <c r="F8" s="5" t="n"/>
    </row>
    <row r="9">
      <c r="B9" s="5" t="inlineStr">
        <is>
          <t>Urbania White</t>
        </is>
      </c>
      <c r="C9" s="6" t="n">
        <v>7</v>
      </c>
      <c r="D9" s="7" t="n">
        <v>7</v>
      </c>
      <c r="E9" s="8">
        <f>IF(D9=0,"AGOTADO",IF(D9/C9&lt;=0.15,"CRÍTICO",IF(D9/C9&lt;=0.4,"BAJO","OK")))</f>
        <v/>
      </c>
      <c r="F9" s="5" t="n"/>
    </row>
    <row r="10">
      <c r="B10" s="5" t="inlineStr">
        <is>
          <t>Malla Lyndhurst</t>
        </is>
      </c>
      <c r="C10" s="6" t="n">
        <v>17</v>
      </c>
      <c r="D10" s="7" t="n">
        <v>9</v>
      </c>
      <c r="E10" s="8">
        <f>IF(D10=0,"AGOTADO",IF(D10/C10&lt;=0.15,"CRÍTICO",IF(D10/C10&lt;=0.4,"BAJO","OK")))</f>
        <v/>
      </c>
      <c r="F10" s="5" t="n"/>
    </row>
    <row r="11">
      <c r="B11" s="5" t="inlineStr">
        <is>
          <t>Pegavitro</t>
        </is>
      </c>
      <c r="C11" s="6" t="n">
        <v>79</v>
      </c>
      <c r="D11" s="7" t="n">
        <v>41</v>
      </c>
      <c r="E11" s="8">
        <f>IF(D11=0,"AGOTADO",IF(D11/C11&lt;=0.15,"CRÍTICO",IF(D11/C11&lt;=0.4,"BAJO","OK")))</f>
        <v/>
      </c>
      <c r="F11" s="5" t="n"/>
    </row>
    <row r="12">
      <c r="B12" s="5" t="inlineStr">
        <is>
          <t>Fija Porcelánico</t>
        </is>
      </c>
      <c r="C12" s="6" t="n">
        <v>39</v>
      </c>
      <c r="D12" s="7" t="n">
        <v>14</v>
      </c>
      <c r="E12" s="8">
        <f>IF(D12=0,"AGOTADO",IF(D12/C12&lt;=0.15,"CRÍTICO",IF(D12/C12&lt;=0.4,"BAJO","OK")))</f>
        <v/>
      </c>
      <c r="F12" s="5" t="n"/>
    </row>
    <row r="14">
      <c r="B14" s="3" t="inlineStr">
        <is>
          <t>📦  LOTE 34 (CABERNET) MZA 14</t>
        </is>
      </c>
    </row>
    <row r="15">
      <c r="B15" s="4" t="inlineStr">
        <is>
          <t>Material</t>
        </is>
      </c>
      <c r="C15" s="4" t="inlineStr">
        <is>
          <t>Inicial</t>
        </is>
      </c>
      <c r="D15" s="4" t="inlineStr">
        <is>
          <t>Actual</t>
        </is>
      </c>
      <c r="E15" s="4" t="inlineStr">
        <is>
          <t>Estado</t>
        </is>
      </c>
      <c r="F15" s="4" t="inlineStr">
        <is>
          <t>Notas</t>
        </is>
      </c>
    </row>
    <row r="16">
      <c r="B16" s="5" t="inlineStr">
        <is>
          <t>Piso Moret</t>
        </is>
      </c>
      <c r="C16" s="6" t="n">
        <v>117</v>
      </c>
      <c r="D16" s="7" t="n">
        <v>0</v>
      </c>
      <c r="E16" s="8">
        <f>IF(D16=0,"AGOTADO",IF(D16/C16&lt;=0.15,"CRÍTICO",IF(D16/C16&lt;=0.4,"BAJO","OK")))</f>
        <v/>
      </c>
      <c r="F16" s="5" t="n"/>
    </row>
    <row r="17">
      <c r="B17" s="5" t="inlineStr">
        <is>
          <t>Urbania White</t>
        </is>
      </c>
      <c r="C17" s="6" t="n">
        <v>8</v>
      </c>
      <c r="D17" s="7" t="n">
        <v>0</v>
      </c>
      <c r="E17" s="8">
        <f>IF(D17=0,"AGOTADO",IF(D17/C17&lt;=0.15,"CRÍTICO",IF(D17/C17&lt;=0.4,"BAJO","OK")))</f>
        <v/>
      </c>
      <c r="F17" s="5" t="n"/>
    </row>
    <row r="18">
      <c r="B18" s="5" t="inlineStr">
        <is>
          <t>Malla Lyndhurst</t>
        </is>
      </c>
      <c r="C18" s="6" t="n">
        <v>28</v>
      </c>
      <c r="D18" s="7" t="n">
        <v>0</v>
      </c>
      <c r="E18" s="8">
        <f>IF(D18=0,"AGOTADO",IF(D18/C18&lt;=0.15,"CRÍTICO",IF(D18/C18&lt;=0.4,"BAJO","OK")))</f>
        <v/>
      </c>
      <c r="F18" s="5" t="n"/>
    </row>
    <row r="19">
      <c r="B19" s="5" t="inlineStr">
        <is>
          <t>Royal Walnut (duela)</t>
        </is>
      </c>
      <c r="C19" s="6" t="n">
        <v>41</v>
      </c>
      <c r="D19" s="7" t="n">
        <v>0</v>
      </c>
      <c r="E19" s="8">
        <f>IF(D19=0,"AGOTADO",IF(D19/C19&lt;=0.15,"CRÍTICO",IF(D19/C19&lt;=0.4,"BAJO","OK")))</f>
        <v/>
      </c>
      <c r="F19" s="5" t="n"/>
    </row>
    <row r="20">
      <c r="B20" s="5" t="inlineStr">
        <is>
          <t>Pegavitro</t>
        </is>
      </c>
      <c r="C20" s="6" t="n">
        <v>93</v>
      </c>
      <c r="D20" s="7" t="n">
        <v>0</v>
      </c>
      <c r="E20" s="8">
        <f>IF(D20=0,"AGOTADO",IF(D20/C20&lt;=0.15,"CRÍTICO",IF(D20/C20&lt;=0.4,"BAJO","OK")))</f>
        <v/>
      </c>
      <c r="F20" s="5" t="n"/>
    </row>
    <row r="21">
      <c r="B21" s="5" t="inlineStr">
        <is>
          <t>Unicrest</t>
        </is>
      </c>
      <c r="C21" s="6" t="n">
        <v>20</v>
      </c>
      <c r="D21" s="7" t="n">
        <v>0</v>
      </c>
      <c r="E21" s="8">
        <f>IF(D21=0,"AGOTADO",IF(D21/C21&lt;=0.15,"CRÍTICO",IF(D21/C21&lt;=0.4,"BAJO","OK")))</f>
        <v/>
      </c>
      <c r="F21" s="5" t="n"/>
    </row>
    <row r="23">
      <c r="B23" s="3" t="inlineStr">
        <is>
          <t>📦  LOTE 9 (MERLOT) MZA 7</t>
        </is>
      </c>
    </row>
    <row r="24">
      <c r="B24" s="4" t="inlineStr">
        <is>
          <t>Material</t>
        </is>
      </c>
      <c r="C24" s="4" t="inlineStr">
        <is>
          <t>Inicial</t>
        </is>
      </c>
      <c r="D24" s="4" t="inlineStr">
        <is>
          <t>Actual</t>
        </is>
      </c>
      <c r="E24" s="4" t="inlineStr">
        <is>
          <t>Estado</t>
        </is>
      </c>
      <c r="F24" s="4" t="inlineStr">
        <is>
          <t>Notas</t>
        </is>
      </c>
    </row>
    <row r="25">
      <c r="B25" s="5" t="inlineStr">
        <is>
          <t>Piso Moret</t>
        </is>
      </c>
      <c r="C25" s="6" t="n">
        <v>98</v>
      </c>
      <c r="D25" s="7" t="n">
        <v>0</v>
      </c>
      <c r="E25" s="8">
        <f>IF(D25=0,"AGOTADO",IF(D25/C25&lt;=0.15,"CRÍTICO",IF(D25/C25&lt;=0.4,"BAJO","OK")))</f>
        <v/>
      </c>
      <c r="F25" s="5" t="n"/>
    </row>
    <row r="26">
      <c r="B26" s="5" t="inlineStr">
        <is>
          <t>Urbania White</t>
        </is>
      </c>
      <c r="C26" s="6" t="n">
        <v>8</v>
      </c>
      <c r="D26" s="7" t="n">
        <v>0</v>
      </c>
      <c r="E26" s="8">
        <f>IF(D26=0,"AGOTADO",IF(D26/C26&lt;=0.15,"CRÍTICO",IF(D26/C26&lt;=0.4,"BAJO","OK")))</f>
        <v/>
      </c>
      <c r="F26" s="5" t="n"/>
    </row>
    <row r="27">
      <c r="B27" s="5" t="inlineStr">
        <is>
          <t>Malla Lyndhurst</t>
        </is>
      </c>
      <c r="C27" s="6" t="n">
        <v>17</v>
      </c>
      <c r="D27" s="7" t="n">
        <v>13</v>
      </c>
      <c r="E27" s="8">
        <f>IF(D27=0,"AGOTADO",IF(D27/C27&lt;=0.15,"CRÍTICO",IF(D27/C27&lt;=0.4,"BAJO","OK")))</f>
        <v/>
      </c>
      <c r="F27" s="5" t="n"/>
    </row>
    <row r="28">
      <c r="B28" s="5" t="inlineStr">
        <is>
          <t>Royal Walnut (duela)</t>
        </is>
      </c>
      <c r="C28" s="6" t="n">
        <v>37</v>
      </c>
      <c r="D28" s="7" t="n">
        <v>0</v>
      </c>
      <c r="E28" s="8">
        <f>IF(D28=0,"AGOTADO",IF(D28/C28&lt;=0.15,"CRÍTICO",IF(D28/C28&lt;=0.4,"BAJO","OK")))</f>
        <v/>
      </c>
      <c r="F28" s="5" t="n"/>
    </row>
    <row r="29">
      <c r="B29" s="5" t="inlineStr">
        <is>
          <t>Pegavitro</t>
        </is>
      </c>
      <c r="C29" s="6" t="n">
        <v>79</v>
      </c>
      <c r="D29" s="7" t="n">
        <v>0</v>
      </c>
      <c r="E29" s="8">
        <f>IF(D29=0,"AGOTADO",IF(D29/C29&lt;=0.15,"CRÍTICO",IF(D29/C29&lt;=0.4,"BAJO","OK")))</f>
        <v/>
      </c>
      <c r="F29" s="5" t="n"/>
    </row>
    <row r="30">
      <c r="B30" s="5" t="inlineStr">
        <is>
          <t>Fija Porcelánico</t>
        </is>
      </c>
      <c r="C30" s="6" t="n">
        <v>39</v>
      </c>
      <c r="D30" s="7" t="n">
        <v>0</v>
      </c>
      <c r="E30" s="8">
        <f>IF(D30=0,"AGOTADO",IF(D30/C30&lt;=0.15,"CRÍTICO",IF(D30/C30&lt;=0.4,"BAJO","OK")))</f>
        <v/>
      </c>
      <c r="F30" s="5" t="n"/>
    </row>
    <row r="32">
      <c r="B32" s="3" t="inlineStr">
        <is>
          <t>🧰  EXTRAS Y GENERAL · ALMACÉN</t>
        </is>
      </c>
    </row>
    <row r="33">
      <c r="B33" s="5" t="inlineStr">
        <is>
          <t>Boquilla Crest Cantera 5 kg</t>
        </is>
      </c>
      <c r="C33" s="6" t="inlineStr">
        <is>
          <t>3 cajas</t>
        </is>
      </c>
    </row>
    <row r="34">
      <c r="B34" s="5" t="inlineStr">
        <is>
          <t>Boquilla Crest Blanco 5 kg</t>
        </is>
      </c>
      <c r="C34" s="6" t="inlineStr">
        <is>
          <t>2 cajas</t>
        </is>
      </c>
    </row>
    <row r="35">
      <c r="B35" s="5" t="inlineStr">
        <is>
          <t>Boquilla Crest Chocolate 5 kg</t>
        </is>
      </c>
      <c r="C35" s="6" t="inlineStr">
        <is>
          <t>2 cajas</t>
        </is>
      </c>
    </row>
    <row r="36">
      <c r="B36" s="5" t="inlineStr">
        <is>
          <t>Boquilla Crest Plata 5 kg</t>
        </is>
      </c>
      <c r="C36" s="6" t="inlineStr">
        <is>
          <t>1 caja</t>
        </is>
      </c>
    </row>
    <row r="37">
      <c r="B37" s="5" t="inlineStr">
        <is>
          <t>Kretbond 20 kg (basecoat)</t>
        </is>
      </c>
      <c r="C37" s="6" t="inlineStr">
        <is>
          <t>5 sacos</t>
        </is>
      </c>
    </row>
    <row r="38">
      <c r="B38" s="5" t="inlineStr">
        <is>
          <t>Econotex/Recubritech fino 20 kg</t>
        </is>
      </c>
      <c r="C38" s="6" t="inlineStr">
        <is>
          <t>2 sacos</t>
        </is>
      </c>
    </row>
    <row r="39">
      <c r="B39" s="5" t="inlineStr">
        <is>
          <t>BlueFence 20 lt (impermeabilizante)</t>
        </is>
      </c>
      <c r="C39" s="6" t="inlineStr">
        <is>
          <t>1 cubeta</t>
        </is>
      </c>
    </row>
  </sheetData>
  <mergeCells count="6">
    <mergeCell ref="B2:F2"/>
    <mergeCell ref="B3:F3"/>
    <mergeCell ref="B5:F5"/>
    <mergeCell ref="B23:F23"/>
    <mergeCell ref="B14:F14"/>
    <mergeCell ref="B32:F32"/>
  </mergeCells>
  <conditionalFormatting sqref="E7:E12">
    <cfRule type="cellIs" priority="1" operator="equal" dxfId="0">
      <formula>"OK"</formula>
    </cfRule>
    <cfRule type="cellIs" priority="2" operator="equal" dxfId="1">
      <formula>"BAJO"</formula>
    </cfRule>
    <cfRule type="cellIs" priority="3" operator="equal" dxfId="2">
      <formula>"CRÍTICO"</formula>
    </cfRule>
    <cfRule type="cellIs" priority="4" operator="equal" dxfId="3">
      <formula>"AGOTADO"</formula>
    </cfRule>
  </conditionalFormatting>
  <conditionalFormatting sqref="E16:E21">
    <cfRule type="cellIs" priority="5" operator="equal" dxfId="0">
      <formula>"OK"</formula>
    </cfRule>
    <cfRule type="cellIs" priority="6" operator="equal" dxfId="1">
      <formula>"BAJO"</formula>
    </cfRule>
    <cfRule type="cellIs" priority="7" operator="equal" dxfId="2">
      <formula>"CRÍTICO"</formula>
    </cfRule>
    <cfRule type="cellIs" priority="8" operator="equal" dxfId="3">
      <formula>"AGOTADO"</formula>
    </cfRule>
  </conditionalFormatting>
  <conditionalFormatting sqref="E25:E30">
    <cfRule type="cellIs" priority="9" operator="equal" dxfId="0">
      <formula>"OK"</formula>
    </cfRule>
    <cfRule type="cellIs" priority="10" operator="equal" dxfId="1">
      <formula>"BAJO"</formula>
    </cfRule>
    <cfRule type="cellIs" priority="11" operator="equal" dxfId="2">
      <formula>"CRÍTICO"</formula>
    </cfRule>
    <cfRule type="cellIs" priority="12" operator="equal" dxfId="3">
      <formula>"AGOTADO"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A2" s="9" t="inlineStr">
        <is>
          <t>HISTORIAL DE INVENTARIO — LOTE 34 MZA 14</t>
        </is>
      </c>
    </row>
    <row r="3">
      <c r="A3" s="2" t="inlineStr">
        <is>
          <t>Salió = lo que se sacó del almacén ese día · Queda = saldo restante</t>
        </is>
      </c>
    </row>
    <row r="5">
      <c r="A5" s="10" t="inlineStr">
        <is>
          <t>Fecha</t>
        </is>
      </c>
      <c r="B5" s="10" t="inlineStr">
        <is>
          <t>Pisero(s)</t>
        </is>
      </c>
      <c r="C5" s="10" t="inlineStr">
        <is>
          <t>Salió Moret</t>
        </is>
      </c>
      <c r="D5" s="10" t="inlineStr">
        <is>
          <t>Salió Duela</t>
        </is>
      </c>
      <c r="E5" s="10" t="inlineStr">
        <is>
          <t>Piso Moret</t>
        </is>
      </c>
      <c r="F5" s="10" t="inlineStr">
        <is>
          <t>Urbania White</t>
        </is>
      </c>
      <c r="G5" s="10" t="inlineStr">
        <is>
          <t>Malla Lyndhurst</t>
        </is>
      </c>
      <c r="H5" s="10" t="inlineStr">
        <is>
          <t>Royal Walnut</t>
        </is>
      </c>
      <c r="I5" s="10" t="inlineStr">
        <is>
          <t>Pegavitro</t>
        </is>
      </c>
      <c r="J5" s="10" t="inlineStr">
        <is>
          <t>Unicrest</t>
        </is>
      </c>
    </row>
    <row r="6">
      <c r="A6" s="11" t="inlineStr">
        <is>
          <t>▶ Inicial</t>
        </is>
      </c>
      <c r="B6" s="11" t="inlineStr"/>
      <c r="C6" s="12" t="inlineStr"/>
      <c r="D6" s="12" t="inlineStr"/>
      <c r="E6" s="12" t="n">
        <v>117</v>
      </c>
      <c r="F6" s="12" t="n">
        <v>8</v>
      </c>
      <c r="G6" s="12" t="n">
        <v>28</v>
      </c>
      <c r="H6" s="12" t="n">
        <v>41</v>
      </c>
      <c r="I6" s="12" t="n">
        <v>93</v>
      </c>
      <c r="J6" s="12" t="n">
        <v>20</v>
      </c>
    </row>
    <row r="7">
      <c r="A7" s="13" t="inlineStr">
        <is>
          <t>30 abr</t>
        </is>
      </c>
      <c r="B7" s="13" t="inlineStr">
        <is>
          <t>Valdez+Joel</t>
        </is>
      </c>
      <c r="C7" s="14" t="n">
        <v>7</v>
      </c>
      <c r="D7" s="14" t="n">
        <v>5</v>
      </c>
      <c r="E7" s="6" t="n">
        <v>110</v>
      </c>
      <c r="F7" s="6" t="n">
        <v>8</v>
      </c>
      <c r="G7" s="6" t="n">
        <v>28</v>
      </c>
      <c r="H7" s="6" t="n">
        <v>36</v>
      </c>
      <c r="I7" s="6" t="n">
        <v>84</v>
      </c>
      <c r="J7" s="6" t="n">
        <v>20</v>
      </c>
    </row>
    <row r="8">
      <c r="A8" s="13" t="inlineStr">
        <is>
          <t>01 may</t>
        </is>
      </c>
      <c r="B8" s="13" t="inlineStr">
        <is>
          <t>Valdez+Orduño</t>
        </is>
      </c>
      <c r="C8" s="14" t="inlineStr"/>
      <c r="D8" s="14" t="n">
        <v>10</v>
      </c>
      <c r="E8" s="6" t="n">
        <v>110</v>
      </c>
      <c r="F8" s="6" t="n">
        <v>8</v>
      </c>
      <c r="G8" s="6" t="n">
        <v>28</v>
      </c>
      <c r="H8" s="6" t="n">
        <v>26</v>
      </c>
      <c r="I8" s="6" t="n">
        <v>74</v>
      </c>
      <c r="J8" s="6" t="n">
        <v>20</v>
      </c>
    </row>
    <row r="9">
      <c r="A9" s="13" t="inlineStr">
        <is>
          <t>02 may</t>
        </is>
      </c>
      <c r="B9" s="13" t="inlineStr">
        <is>
          <t>Valdez+Orduño</t>
        </is>
      </c>
      <c r="C9" s="14" t="inlineStr"/>
      <c r="D9" s="14" t="n">
        <v>4</v>
      </c>
      <c r="E9" s="6" t="n">
        <v>110</v>
      </c>
      <c r="F9" s="6" t="n">
        <v>8</v>
      </c>
      <c r="G9" s="6" t="n">
        <v>28</v>
      </c>
      <c r="H9" s="6" t="n">
        <v>22</v>
      </c>
      <c r="I9" s="6" t="n">
        <v>69</v>
      </c>
      <c r="J9" s="6" t="n">
        <v>20</v>
      </c>
    </row>
    <row r="10">
      <c r="A10" s="13" t="inlineStr">
        <is>
          <t>05 may</t>
        </is>
      </c>
      <c r="B10" s="13" t="inlineStr">
        <is>
          <t>Valdez+Joel</t>
        </is>
      </c>
      <c r="C10" s="14" t="n">
        <v>5</v>
      </c>
      <c r="D10" s="14" t="n">
        <v>5</v>
      </c>
      <c r="E10" s="6" t="n">
        <v>105</v>
      </c>
      <c r="F10" s="6" t="n">
        <v>8</v>
      </c>
      <c r="G10" s="6" t="n">
        <v>28</v>
      </c>
      <c r="H10" s="6" t="n">
        <v>17</v>
      </c>
      <c r="I10" s="6" t="n">
        <v>59</v>
      </c>
      <c r="J10" s="6" t="n">
        <v>20</v>
      </c>
    </row>
    <row r="11">
      <c r="A11" s="13" t="inlineStr">
        <is>
          <t>06 may</t>
        </is>
      </c>
      <c r="B11" s="13" t="inlineStr">
        <is>
          <t>Valdez+Joel</t>
        </is>
      </c>
      <c r="C11" s="14" t="inlineStr"/>
      <c r="D11" s="14" t="n">
        <v>3</v>
      </c>
      <c r="E11" s="6" t="n">
        <v>105</v>
      </c>
      <c r="F11" s="6" t="n">
        <v>8</v>
      </c>
      <c r="G11" s="6" t="n">
        <v>28</v>
      </c>
      <c r="H11" s="6" t="n">
        <v>14</v>
      </c>
      <c r="I11" s="6" t="n">
        <v>55</v>
      </c>
      <c r="J11" s="6" t="n">
        <v>20</v>
      </c>
    </row>
    <row r="12">
      <c r="A12" s="13" t="inlineStr">
        <is>
          <t>07 may</t>
        </is>
      </c>
      <c r="B12" s="13" t="inlineStr">
        <is>
          <t>Gerardo Orduño</t>
        </is>
      </c>
      <c r="C12" s="14" t="n">
        <v>5</v>
      </c>
      <c r="D12" s="14" t="n">
        <v>12</v>
      </c>
      <c r="E12" s="6" t="n">
        <v>100</v>
      </c>
      <c r="F12" s="6" t="n">
        <v>8</v>
      </c>
      <c r="G12" s="6" t="n">
        <v>28</v>
      </c>
      <c r="H12" s="6" t="n">
        <v>2</v>
      </c>
      <c r="I12" s="6" t="n">
        <v>45</v>
      </c>
      <c r="J12" s="6" t="n">
        <v>14</v>
      </c>
    </row>
    <row r="13">
      <c r="A13" s="13" t="inlineStr">
        <is>
          <t>08 may</t>
        </is>
      </c>
      <c r="B13" s="13" t="inlineStr">
        <is>
          <t>Gerardo Orduño</t>
        </is>
      </c>
      <c r="C13" s="14" t="n">
        <v>1</v>
      </c>
      <c r="D13" s="14" t="n">
        <v>2</v>
      </c>
      <c r="E13" s="6" t="n">
        <v>99</v>
      </c>
      <c r="F13" s="6" t="n">
        <v>8</v>
      </c>
      <c r="G13" s="6" t="n">
        <v>28</v>
      </c>
      <c r="H13" s="6" t="n">
        <v>0</v>
      </c>
      <c r="I13" s="6" t="n">
        <v>41</v>
      </c>
      <c r="J13" s="6" t="n">
        <v>12</v>
      </c>
    </row>
    <row r="14">
      <c r="A14" s="13" t="inlineStr">
        <is>
          <t>11 may</t>
        </is>
      </c>
      <c r="B14" s="13" t="inlineStr">
        <is>
          <t>Gerardo Orduño</t>
        </is>
      </c>
      <c r="C14" s="14" t="n">
        <v>5</v>
      </c>
      <c r="D14" s="14" t="inlineStr"/>
      <c r="E14" s="6" t="n">
        <v>94</v>
      </c>
      <c r="F14" s="6" t="n">
        <v>8</v>
      </c>
      <c r="G14" s="6" t="n">
        <v>28</v>
      </c>
      <c r="H14" s="6" t="n">
        <v>0</v>
      </c>
      <c r="I14" s="6" t="n">
        <v>41</v>
      </c>
      <c r="J14" s="6" t="n">
        <v>7</v>
      </c>
    </row>
    <row r="15">
      <c r="A15" s="13" t="inlineStr">
        <is>
          <t>13 may</t>
        </is>
      </c>
      <c r="B15" s="13" t="inlineStr">
        <is>
          <t>Gerardo Orduño</t>
        </is>
      </c>
      <c r="C15" s="14" t="n">
        <v>5</v>
      </c>
      <c r="D15" s="14" t="inlineStr"/>
      <c r="E15" s="6" t="n">
        <v>89</v>
      </c>
      <c r="F15" s="6" t="n">
        <v>8</v>
      </c>
      <c r="G15" s="6" t="n">
        <v>28</v>
      </c>
      <c r="H15" s="6" t="n">
        <v>0</v>
      </c>
      <c r="I15" s="6" t="n">
        <v>36</v>
      </c>
      <c r="J15" s="6" t="n">
        <v>4</v>
      </c>
    </row>
    <row r="16">
      <c r="A16" s="13" t="inlineStr">
        <is>
          <t>15 may</t>
        </is>
      </c>
      <c r="B16" s="13" t="inlineStr">
        <is>
          <t>Gerardo Orduño</t>
        </is>
      </c>
      <c r="C16" s="14" t="n">
        <v>7</v>
      </c>
      <c r="D16" s="14" t="inlineStr"/>
      <c r="E16" s="6" t="n">
        <v>82</v>
      </c>
      <c r="F16" s="6" t="n">
        <v>8</v>
      </c>
      <c r="G16" s="6" t="n">
        <v>28</v>
      </c>
      <c r="H16" s="6" t="n">
        <v>0</v>
      </c>
      <c r="I16" s="6" t="n">
        <v>34</v>
      </c>
      <c r="J16" s="6" t="n">
        <v>2</v>
      </c>
    </row>
    <row r="17">
      <c r="A17" s="13" t="inlineStr">
        <is>
          <t>19 may</t>
        </is>
      </c>
      <c r="B17" s="13" t="inlineStr">
        <is>
          <t>Jaime</t>
        </is>
      </c>
      <c r="C17" s="14" t="n">
        <v>3</v>
      </c>
      <c r="D17" s="14" t="inlineStr"/>
      <c r="E17" s="6" t="n">
        <v>79</v>
      </c>
      <c r="F17" s="6" t="n">
        <v>8</v>
      </c>
      <c r="G17" s="6" t="n">
        <v>28</v>
      </c>
      <c r="H17" s="6" t="n">
        <v>0</v>
      </c>
      <c r="I17" s="6" t="n">
        <v>34</v>
      </c>
      <c r="J17" s="6" t="n">
        <v>2</v>
      </c>
    </row>
    <row r="18">
      <c r="A18" s="13" t="inlineStr">
        <is>
          <t>20 may</t>
        </is>
      </c>
      <c r="B18" s="13" t="inlineStr">
        <is>
          <t>Jaime</t>
        </is>
      </c>
      <c r="C18" s="14" t="inlineStr"/>
      <c r="D18" s="14" t="inlineStr"/>
      <c r="E18" s="6" t="n">
        <v>79</v>
      </c>
      <c r="F18" s="6" t="n">
        <v>8</v>
      </c>
      <c r="G18" s="6" t="n">
        <v>28</v>
      </c>
      <c r="H18" s="6" t="n">
        <v>0</v>
      </c>
      <c r="I18" s="6" t="n">
        <v>30</v>
      </c>
      <c r="J18" s="6" t="n">
        <v>2</v>
      </c>
    </row>
    <row r="19">
      <c r="A19" s="13" t="inlineStr">
        <is>
          <t>22 may</t>
        </is>
      </c>
      <c r="B19" s="13" t="inlineStr">
        <is>
          <t>Jaime</t>
        </is>
      </c>
      <c r="C19" s="14" t="n">
        <v>24</v>
      </c>
      <c r="D19" s="14" t="inlineStr"/>
      <c r="E19" s="6" t="n">
        <v>55</v>
      </c>
      <c r="F19" s="6" t="n">
        <v>8</v>
      </c>
      <c r="G19" s="6" t="n">
        <v>28</v>
      </c>
      <c r="H19" s="6" t="n">
        <v>0</v>
      </c>
      <c r="I19" s="6" t="n">
        <v>10</v>
      </c>
      <c r="J19" s="6" t="n">
        <v>2</v>
      </c>
    </row>
    <row r="20">
      <c r="A20" s="13" t="inlineStr">
        <is>
          <t>1-6 jun</t>
        </is>
      </c>
      <c r="B20" s="13" t="inlineStr">
        <is>
          <t>Salmerón (P.B.)</t>
        </is>
      </c>
      <c r="C20" s="14" t="n">
        <v>51</v>
      </c>
      <c r="D20" s="14" t="inlineStr"/>
      <c r="E20" s="6" t="n">
        <v>4</v>
      </c>
      <c r="F20" s="6" t="n">
        <v>0</v>
      </c>
      <c r="G20" s="6" t="n">
        <v>28</v>
      </c>
      <c r="H20" s="6" t="n">
        <v>0</v>
      </c>
      <c r="I20" s="6" t="n">
        <v>0</v>
      </c>
      <c r="J20" s="6" t="n">
        <v>0</v>
      </c>
    </row>
    <row r="21">
      <c r="A21" s="13" t="inlineStr">
        <is>
          <t>15-20 jun</t>
        </is>
      </c>
      <c r="B21" s="13" t="inlineStr">
        <is>
          <t>vitroblock 28 pz</t>
        </is>
      </c>
      <c r="C21" s="14" t="n">
        <v>4</v>
      </c>
      <c r="D21" s="14" t="inlineStr"/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15" t="inlineStr">
        <is>
          <t>★ Corte final (actual)</t>
        </is>
      </c>
      <c r="B22" s="15" t="inlineStr"/>
      <c r="C22" s="16" t="inlineStr"/>
      <c r="D22" s="16" t="inlineStr"/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</row>
  </sheetData>
  <mergeCells count="2"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>
      <c r="A2" s="9" t="inlineStr">
        <is>
          <t>HISTORIAL DE INVENTARIO — LOTE 9 MZA 7</t>
        </is>
      </c>
    </row>
    <row r="3">
      <c r="A3" s="2" t="inlineStr">
        <is>
          <t>Salió = lo que se sacó del almacén ese día · Queda = saldo restante</t>
        </is>
      </c>
    </row>
    <row r="4"/>
    <row r="5">
      <c r="A5" s="10" t="inlineStr">
        <is>
          <t>Fecha</t>
        </is>
      </c>
      <c r="B5" s="10" t="inlineStr">
        <is>
          <t>Pisero(s)</t>
        </is>
      </c>
      <c r="C5" s="10" t="inlineStr">
        <is>
          <t>Salió Moret</t>
        </is>
      </c>
      <c r="D5" s="10" t="inlineStr">
        <is>
          <t>Salió Duela</t>
        </is>
      </c>
      <c r="E5" s="10" t="inlineStr">
        <is>
          <t>Piso Moret</t>
        </is>
      </c>
      <c r="F5" s="10" t="inlineStr">
        <is>
          <t>Urbania White</t>
        </is>
      </c>
      <c r="G5" s="10" t="inlineStr">
        <is>
          <t>Malla Lyndhurst</t>
        </is>
      </c>
      <c r="H5" s="10" t="inlineStr">
        <is>
          <t>Royal Walnut</t>
        </is>
      </c>
      <c r="I5" s="10" t="inlineStr">
        <is>
          <t>Pegavitro</t>
        </is>
      </c>
      <c r="J5" s="10" t="inlineStr">
        <is>
          <t>Fija Porcelánico</t>
        </is>
      </c>
    </row>
    <row r="6">
      <c r="A6" s="11" t="inlineStr">
        <is>
          <t>▶ Inicial</t>
        </is>
      </c>
      <c r="B6" s="11" t="inlineStr"/>
      <c r="C6" s="12" t="inlineStr"/>
      <c r="D6" s="12" t="inlineStr"/>
      <c r="E6" s="12" t="n">
        <v>98</v>
      </c>
      <c r="F6" s="12" t="n">
        <v>8</v>
      </c>
      <c r="G6" s="12" t="n">
        <v>17</v>
      </c>
      <c r="H6" s="12" t="n">
        <v>37</v>
      </c>
      <c r="I6" s="12" t="n">
        <v>79</v>
      </c>
      <c r="J6" s="12" t="n">
        <v>39</v>
      </c>
    </row>
    <row r="7">
      <c r="A7" s="13" t="inlineStr">
        <is>
          <t>20 may</t>
        </is>
      </c>
      <c r="B7" s="13" t="inlineStr">
        <is>
          <t>Cortez (Miguel/Manuel/José A.)</t>
        </is>
      </c>
      <c r="C7" s="14" t="n">
        <v>3</v>
      </c>
      <c r="D7" s="14" t="n">
        <v>6</v>
      </c>
      <c r="E7" s="6" t="n">
        <v>95</v>
      </c>
      <c r="F7" s="6" t="n">
        <v>8</v>
      </c>
      <c r="G7" s="6" t="n">
        <v>17</v>
      </c>
      <c r="H7" s="6" t="n">
        <v>31</v>
      </c>
      <c r="I7" s="6" t="n">
        <v>73</v>
      </c>
      <c r="J7" s="6" t="n">
        <v>36</v>
      </c>
    </row>
    <row r="8">
      <c r="A8" s="13" t="inlineStr">
        <is>
          <t>21 may</t>
        </is>
      </c>
      <c r="B8" s="13" t="inlineStr">
        <is>
          <t>Cortez</t>
        </is>
      </c>
      <c r="C8" s="14" t="n">
        <v>2</v>
      </c>
      <c r="D8" s="14" t="n">
        <v>6</v>
      </c>
      <c r="E8" s="6" t="n">
        <v>93</v>
      </c>
      <c r="F8" s="6" t="n">
        <v>8</v>
      </c>
      <c r="G8" s="6" t="n">
        <v>17</v>
      </c>
      <c r="H8" s="6" t="n">
        <v>25</v>
      </c>
      <c r="I8" s="6" t="n">
        <v>68</v>
      </c>
      <c r="J8" s="6" t="n">
        <v>33</v>
      </c>
    </row>
    <row r="9">
      <c r="A9" s="13" t="inlineStr">
        <is>
          <t>22 may</t>
        </is>
      </c>
      <c r="B9" s="13" t="inlineStr">
        <is>
          <t>Cortez</t>
        </is>
      </c>
      <c r="C9" s="14" t="n">
        <v>2</v>
      </c>
      <c r="D9" s="14" t="n">
        <v>5</v>
      </c>
      <c r="E9" s="6" t="n">
        <v>91</v>
      </c>
      <c r="F9" s="6" t="n">
        <v>8</v>
      </c>
      <c r="G9" s="6" t="n">
        <v>17</v>
      </c>
      <c r="H9" s="6" t="n">
        <v>20</v>
      </c>
      <c r="I9" s="6" t="n">
        <v>62</v>
      </c>
      <c r="J9" s="6" t="n">
        <v>30</v>
      </c>
    </row>
    <row r="10">
      <c r="A10" s="13" t="inlineStr">
        <is>
          <t>23 may</t>
        </is>
      </c>
      <c r="B10" s="13" t="inlineStr">
        <is>
          <t>Cortez</t>
        </is>
      </c>
      <c r="C10" s="14" t="n">
        <v>2</v>
      </c>
      <c r="D10" s="14" t="n">
        <v>5</v>
      </c>
      <c r="E10" s="6" t="n">
        <v>89</v>
      </c>
      <c r="F10" s="6" t="n">
        <v>8</v>
      </c>
      <c r="G10" s="6" t="n">
        <v>17</v>
      </c>
      <c r="H10" s="6" t="n">
        <v>15</v>
      </c>
      <c r="I10" s="6" t="n">
        <v>56</v>
      </c>
      <c r="J10" s="6" t="n">
        <v>28</v>
      </c>
    </row>
    <row r="11">
      <c r="A11" s="13" t="inlineStr">
        <is>
          <t>24 may</t>
        </is>
      </c>
      <c r="B11" s="13" t="inlineStr">
        <is>
          <t>Cortez</t>
        </is>
      </c>
      <c r="C11" s="14" t="n">
        <v>3</v>
      </c>
      <c r="D11" s="14" t="n">
        <v>5</v>
      </c>
      <c r="E11" s="6" t="n">
        <v>86</v>
      </c>
      <c r="F11" s="6" t="n">
        <v>8</v>
      </c>
      <c r="G11" s="6" t="n">
        <v>17</v>
      </c>
      <c r="H11" s="6" t="n">
        <v>10</v>
      </c>
      <c r="I11" s="6" t="n">
        <v>50</v>
      </c>
      <c r="J11" s="6" t="n">
        <v>25</v>
      </c>
    </row>
    <row r="12">
      <c r="A12" s="13" t="inlineStr">
        <is>
          <t>25 may</t>
        </is>
      </c>
      <c r="B12" s="13" t="inlineStr">
        <is>
          <t>Cortez</t>
        </is>
      </c>
      <c r="C12" s="14" t="n">
        <v>2</v>
      </c>
      <c r="D12" s="14" t="n">
        <v>5</v>
      </c>
      <c r="E12" s="6" t="n">
        <v>84</v>
      </c>
      <c r="F12" s="6" t="n">
        <v>8</v>
      </c>
      <c r="G12" s="6" t="n">
        <v>17</v>
      </c>
      <c r="H12" s="6" t="n">
        <v>5</v>
      </c>
      <c r="I12" s="6" t="n">
        <v>45</v>
      </c>
      <c r="J12" s="6" t="n">
        <v>22</v>
      </c>
    </row>
    <row r="13">
      <c r="A13" s="13" t="inlineStr">
        <is>
          <t>26 may</t>
        </is>
      </c>
      <c r="B13" s="13" t="inlineStr">
        <is>
          <t>Cortez</t>
        </is>
      </c>
      <c r="C13" s="14" t="n">
        <v>2</v>
      </c>
      <c r="D13" s="14" t="n">
        <v>5</v>
      </c>
      <c r="E13" s="6" t="n">
        <v>82</v>
      </c>
      <c r="F13" s="6" t="n">
        <v>8</v>
      </c>
      <c r="G13" s="6" t="n">
        <v>17</v>
      </c>
      <c r="H13" s="6" t="n">
        <v>0</v>
      </c>
      <c r="I13" s="6" t="n">
        <v>39</v>
      </c>
      <c r="J13" s="6" t="n">
        <v>19</v>
      </c>
    </row>
    <row r="14">
      <c r="A14" s="13" t="inlineStr">
        <is>
          <t>01 jun</t>
        </is>
      </c>
      <c r="B14" s="13" t="inlineStr">
        <is>
          <t>Salmerón+Kevin+Josué+JoséC</t>
        </is>
      </c>
      <c r="C14" s="14" t="n">
        <v>6</v>
      </c>
      <c r="D14" s="14" t="inlineStr"/>
      <c r="E14" s="6" t="n">
        <v>76</v>
      </c>
      <c r="F14" s="6" t="n">
        <v>8</v>
      </c>
      <c r="G14" s="6" t="n">
        <v>17</v>
      </c>
      <c r="H14" s="6" t="n">
        <v>0</v>
      </c>
      <c r="I14" s="6" t="n">
        <v>39</v>
      </c>
      <c r="J14" s="6" t="n">
        <v>18</v>
      </c>
    </row>
    <row r="15">
      <c r="A15" s="13" t="inlineStr">
        <is>
          <t>02 jun</t>
        </is>
      </c>
      <c r="B15" s="13" t="inlineStr">
        <is>
          <t>Salmerón+Kevin+Josué</t>
        </is>
      </c>
      <c r="C15" s="14" t="n">
        <v>5</v>
      </c>
      <c r="D15" s="14" t="inlineStr"/>
      <c r="E15" s="6" t="n">
        <v>71</v>
      </c>
      <c r="F15" s="6" t="n">
        <v>8</v>
      </c>
      <c r="G15" s="6" t="n">
        <v>17</v>
      </c>
      <c r="H15" s="6" t="n">
        <v>0</v>
      </c>
      <c r="I15" s="6" t="n">
        <v>39</v>
      </c>
      <c r="J15" s="6" t="n">
        <v>16</v>
      </c>
    </row>
    <row r="16">
      <c r="A16" s="13" t="inlineStr">
        <is>
          <t>03 jun</t>
        </is>
      </c>
      <c r="B16" s="13" t="inlineStr">
        <is>
          <t>Salmerón+Josué</t>
        </is>
      </c>
      <c r="C16" s="14" t="n">
        <v>3</v>
      </c>
      <c r="D16" s="14" t="inlineStr"/>
      <c r="E16" s="6" t="n">
        <v>68</v>
      </c>
      <c r="F16" s="6" t="n">
        <v>8</v>
      </c>
      <c r="G16" s="6" t="n">
        <v>17</v>
      </c>
      <c r="H16" s="6" t="n">
        <v>0</v>
      </c>
      <c r="I16" s="6" t="n">
        <v>39</v>
      </c>
      <c r="J16" s="6" t="n">
        <v>15</v>
      </c>
    </row>
    <row r="17">
      <c r="A17" s="13" t="inlineStr">
        <is>
          <t>04 jun</t>
        </is>
      </c>
      <c r="B17" s="13" t="inlineStr">
        <is>
          <t>Salmerón+Kevin+Josué</t>
        </is>
      </c>
      <c r="C17" s="14" t="n">
        <v>4</v>
      </c>
      <c r="D17" s="14" t="inlineStr"/>
      <c r="E17" s="6" t="n">
        <v>64</v>
      </c>
      <c r="F17" s="6" t="n">
        <v>8</v>
      </c>
      <c r="G17" s="6" t="n">
        <v>17</v>
      </c>
      <c r="H17" s="6" t="n">
        <v>0</v>
      </c>
      <c r="I17" s="6" t="n">
        <v>39</v>
      </c>
      <c r="J17" s="6" t="n">
        <v>14</v>
      </c>
    </row>
    <row r="18">
      <c r="A18" s="13" t="inlineStr">
        <is>
          <t>05 jun</t>
        </is>
      </c>
      <c r="B18" s="13" t="inlineStr">
        <is>
          <t>Salmerón+Kevin+Josué</t>
        </is>
      </c>
      <c r="C18" s="14" t="n">
        <v>5</v>
      </c>
      <c r="D18" s="14" t="inlineStr"/>
      <c r="E18" s="6" t="n">
        <v>59</v>
      </c>
      <c r="F18" s="6" t="n">
        <v>8</v>
      </c>
      <c r="G18" s="6" t="n">
        <v>17</v>
      </c>
      <c r="H18" s="6" t="n">
        <v>0</v>
      </c>
      <c r="I18" s="6" t="n">
        <v>39</v>
      </c>
      <c r="J18" s="6" t="n">
        <v>12</v>
      </c>
    </row>
    <row r="19">
      <c r="A19" s="13" t="inlineStr">
        <is>
          <t>06 jun</t>
        </is>
      </c>
      <c r="B19" s="13" t="inlineStr">
        <is>
          <t>Salmerón+Kevin+Josué</t>
        </is>
      </c>
      <c r="C19" s="14" t="n">
        <v>4</v>
      </c>
      <c r="D19" s="14" t="inlineStr"/>
      <c r="E19" s="6" t="n">
        <v>55</v>
      </c>
      <c r="F19" s="6" t="n">
        <v>8</v>
      </c>
      <c r="G19" s="6" t="n">
        <v>17</v>
      </c>
      <c r="H19" s="6" t="n">
        <v>0</v>
      </c>
      <c r="I19" s="6" t="n">
        <v>39</v>
      </c>
      <c r="J19" s="6" t="n">
        <v>11</v>
      </c>
    </row>
    <row r="20">
      <c r="A20" s="13" t="inlineStr">
        <is>
          <t>08 jun</t>
        </is>
      </c>
      <c r="B20" s="13" t="inlineStr">
        <is>
          <t>Salmerón+Kevin+Josué+JoséC</t>
        </is>
      </c>
      <c r="C20" s="14" t="n">
        <v>10</v>
      </c>
      <c r="D20" s="14" t="inlineStr"/>
      <c r="E20" s="6" t="n">
        <v>45</v>
      </c>
      <c r="F20" s="6" t="n">
        <v>7</v>
      </c>
      <c r="G20" s="6" t="n">
        <v>17</v>
      </c>
      <c r="H20" s="6" t="n">
        <v>0</v>
      </c>
      <c r="I20" s="6" t="n">
        <v>35</v>
      </c>
      <c r="J20" s="6" t="n">
        <v>10</v>
      </c>
    </row>
    <row r="21">
      <c r="A21" s="13" t="inlineStr">
        <is>
          <t>09 jun</t>
        </is>
      </c>
      <c r="B21" s="13" t="inlineStr">
        <is>
          <t>Salmerón+Kevin+Josué+JoséC</t>
        </is>
      </c>
      <c r="C21" s="14" t="n">
        <v>10</v>
      </c>
      <c r="D21" s="14" t="inlineStr"/>
      <c r="E21" s="6" t="n">
        <v>35</v>
      </c>
      <c r="F21" s="6" t="n">
        <v>6</v>
      </c>
      <c r="G21" s="6" t="n">
        <v>16</v>
      </c>
      <c r="H21" s="6" t="n">
        <v>0</v>
      </c>
      <c r="I21" s="6" t="n">
        <v>31</v>
      </c>
      <c r="J21" s="6" t="n">
        <v>9</v>
      </c>
    </row>
    <row r="22">
      <c r="A22" s="13" t="inlineStr">
        <is>
          <t>10 jun</t>
        </is>
      </c>
      <c r="B22" s="13" t="inlineStr">
        <is>
          <t>Salmerón+Kevin+Josué</t>
        </is>
      </c>
      <c r="C22" s="14" t="n">
        <v>8</v>
      </c>
      <c r="D22" s="14" t="inlineStr"/>
      <c r="E22" s="6" t="n">
        <v>27</v>
      </c>
      <c r="F22" s="6" t="n">
        <v>6</v>
      </c>
      <c r="G22" s="6" t="n">
        <v>16</v>
      </c>
      <c r="H22" s="6" t="n">
        <v>0</v>
      </c>
      <c r="I22" s="6" t="n">
        <v>27</v>
      </c>
      <c r="J22" s="6" t="n">
        <v>8</v>
      </c>
    </row>
    <row r="23">
      <c r="A23" s="13" t="inlineStr">
        <is>
          <t>12 jun</t>
        </is>
      </c>
      <c r="B23" s="13" t="inlineStr">
        <is>
          <t>Salmerón+Kevin</t>
        </is>
      </c>
      <c r="C23" s="14" t="n">
        <v>6</v>
      </c>
      <c r="D23" s="14" t="inlineStr"/>
      <c r="E23" s="6" t="n">
        <v>21</v>
      </c>
      <c r="F23" s="6" t="n">
        <v>5</v>
      </c>
      <c r="G23" s="6" t="n">
        <v>15</v>
      </c>
      <c r="H23" s="6" t="n">
        <v>0</v>
      </c>
      <c r="I23" s="6" t="n">
        <v>23</v>
      </c>
      <c r="J23" s="6" t="n">
        <v>7</v>
      </c>
    </row>
    <row r="24">
      <c r="A24" s="13" t="inlineStr">
        <is>
          <t>16 jun</t>
        </is>
      </c>
      <c r="B24" s="13" t="inlineStr">
        <is>
          <t>Kevin</t>
        </is>
      </c>
      <c r="C24" s="14" t="n">
        <v>3</v>
      </c>
      <c r="D24" s="14" t="inlineStr"/>
      <c r="E24" s="6" t="n">
        <v>18</v>
      </c>
      <c r="F24" s="6" t="n">
        <v>4</v>
      </c>
      <c r="G24" s="6" t="n">
        <v>15</v>
      </c>
      <c r="H24" s="6" t="n">
        <v>0</v>
      </c>
      <c r="I24" s="6" t="n">
        <v>20</v>
      </c>
      <c r="J24" s="6" t="n">
        <v>6</v>
      </c>
    </row>
    <row r="25">
      <c r="A25" s="13" t="inlineStr">
        <is>
          <t>17 jun</t>
        </is>
      </c>
      <c r="B25" s="13" t="inlineStr">
        <is>
          <t>Kevin</t>
        </is>
      </c>
      <c r="C25" s="14" t="n">
        <v>3</v>
      </c>
      <c r="D25" s="14" t="inlineStr"/>
      <c r="E25" s="6" t="n">
        <v>15</v>
      </c>
      <c r="F25" s="6" t="n">
        <v>3</v>
      </c>
      <c r="G25" s="6" t="n">
        <v>15</v>
      </c>
      <c r="H25" s="6" t="n">
        <v>0</v>
      </c>
      <c r="I25" s="6" t="n">
        <v>16</v>
      </c>
      <c r="J25" s="6" t="n">
        <v>4</v>
      </c>
    </row>
    <row r="26">
      <c r="A26" s="13" t="inlineStr">
        <is>
          <t>18 jun</t>
        </is>
      </c>
      <c r="B26" s="13" t="inlineStr">
        <is>
          <t>Kevin</t>
        </is>
      </c>
      <c r="C26" s="14" t="n">
        <v>3</v>
      </c>
      <c r="D26" s="14" t="inlineStr"/>
      <c r="E26" s="6" t="n">
        <v>12</v>
      </c>
      <c r="F26" s="6" t="n">
        <v>2</v>
      </c>
      <c r="G26" s="6" t="n">
        <v>14</v>
      </c>
      <c r="H26" s="6" t="n">
        <v>0</v>
      </c>
      <c r="I26" s="6" t="n">
        <v>12</v>
      </c>
      <c r="J26" s="6" t="n">
        <v>3</v>
      </c>
    </row>
    <row r="27">
      <c r="A27" s="13" t="inlineStr">
        <is>
          <t>23 jun</t>
        </is>
      </c>
      <c r="B27" s="13" t="inlineStr">
        <is>
          <t>Salmerón</t>
        </is>
      </c>
      <c r="C27" s="14" t="n">
        <v>4</v>
      </c>
      <c r="D27" s="14" t="inlineStr"/>
      <c r="E27" s="6" t="n">
        <v>8</v>
      </c>
      <c r="F27" s="6" t="n">
        <v>2</v>
      </c>
      <c r="G27" s="6" t="n">
        <v>14</v>
      </c>
      <c r="H27" s="6" t="n">
        <v>0</v>
      </c>
      <c r="I27" s="6" t="n">
        <v>8</v>
      </c>
      <c r="J27" s="6" t="n">
        <v>2</v>
      </c>
    </row>
    <row r="28">
      <c r="A28" s="13" t="inlineStr">
        <is>
          <t>24 jun</t>
        </is>
      </c>
      <c r="B28" s="13" t="inlineStr">
        <is>
          <t>Salmerón</t>
        </is>
      </c>
      <c r="C28" s="14" t="n">
        <v>4</v>
      </c>
      <c r="D28" s="14" t="inlineStr"/>
      <c r="E28" s="6" t="n">
        <v>4</v>
      </c>
      <c r="F28" s="6" t="n">
        <v>1</v>
      </c>
      <c r="G28" s="6" t="n">
        <v>13</v>
      </c>
      <c r="H28" s="6" t="n">
        <v>0</v>
      </c>
      <c r="I28" s="6" t="n">
        <v>4</v>
      </c>
      <c r="J28" s="6" t="n">
        <v>1</v>
      </c>
    </row>
    <row r="29">
      <c r="A29" s="15" t="inlineStr">
        <is>
          <t>★ Corte final</t>
        </is>
      </c>
      <c r="B29" s="15" t="inlineStr">
        <is>
          <t>Salmerón</t>
        </is>
      </c>
      <c r="C29" s="16" t="n">
        <v>4</v>
      </c>
      <c r="D29" s="16" t="inlineStr"/>
      <c r="E29" s="16" t="n">
        <v>0</v>
      </c>
      <c r="F29" s="16" t="n">
        <v>0</v>
      </c>
      <c r="G29" s="16" t="n">
        <v>13</v>
      </c>
      <c r="H29" s="16" t="n">
        <v>0</v>
      </c>
      <c r="I29" s="16" t="n">
        <v>0</v>
      </c>
      <c r="J29" s="16" t="n">
        <v>0</v>
      </c>
    </row>
  </sheetData>
  <mergeCells count="2"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>
      <c r="A2" s="9" t="inlineStr">
        <is>
          <t>HISTORIAL DE INVENTARIO — LOTE 10 MZA 7 (ACTIVO)</t>
        </is>
      </c>
    </row>
    <row r="3">
      <c r="A3" s="2" t="inlineStr">
        <is>
          <t>Salió = lo que se sacó del almacén ese día · Queda = saldo restante</t>
        </is>
      </c>
    </row>
    <row r="4"/>
    <row r="5">
      <c r="A5" s="10" t="inlineStr">
        <is>
          <t>Fecha</t>
        </is>
      </c>
      <c r="B5" s="10" t="inlineStr">
        <is>
          <t>Pisero(s)</t>
        </is>
      </c>
      <c r="C5" s="10" t="inlineStr">
        <is>
          <t>Salió Moret</t>
        </is>
      </c>
      <c r="D5" s="10" t="inlineStr">
        <is>
          <t>Salió Duela</t>
        </is>
      </c>
      <c r="E5" s="10" t="inlineStr">
        <is>
          <t>Piso Moret</t>
        </is>
      </c>
      <c r="F5" s="10" t="inlineStr">
        <is>
          <t>Urbania White</t>
        </is>
      </c>
      <c r="G5" s="10" t="inlineStr">
        <is>
          <t>Malla Lyndhurst</t>
        </is>
      </c>
      <c r="H5" s="10" t="inlineStr">
        <is>
          <t>Royal Walnut</t>
        </is>
      </c>
      <c r="I5" s="10" t="inlineStr">
        <is>
          <t>Pegavitro</t>
        </is>
      </c>
      <c r="J5" s="10" t="inlineStr">
        <is>
          <t>Fija Porcelánico</t>
        </is>
      </c>
    </row>
    <row r="6">
      <c r="A6" s="11" t="inlineStr">
        <is>
          <t>▶ Inicial</t>
        </is>
      </c>
      <c r="B6" s="11" t="inlineStr"/>
      <c r="C6" s="12" t="inlineStr"/>
      <c r="D6" s="12" t="inlineStr"/>
      <c r="E6" s="12" t="n">
        <v>98</v>
      </c>
      <c r="F6" s="12" t="n">
        <v>7</v>
      </c>
      <c r="G6" s="12" t="n">
        <v>17</v>
      </c>
      <c r="H6" s="12" t="n">
        <v>37</v>
      </c>
      <c r="I6" s="12" t="n">
        <v>79</v>
      </c>
      <c r="J6" s="12" t="n">
        <v>39</v>
      </c>
    </row>
    <row r="7">
      <c r="A7" s="13" t="inlineStr">
        <is>
          <t>15 jun</t>
        </is>
      </c>
      <c r="B7" s="13" t="inlineStr">
        <is>
          <t>Salmerón+Josué</t>
        </is>
      </c>
      <c r="C7" s="14" t="n">
        <v>7</v>
      </c>
      <c r="D7" s="14" t="n">
        <v>5</v>
      </c>
      <c r="E7" s="6" t="n">
        <v>91</v>
      </c>
      <c r="F7" s="6" t="n">
        <v>7</v>
      </c>
      <c r="G7" s="6" t="n">
        <v>16</v>
      </c>
      <c r="H7" s="6" t="n">
        <v>32</v>
      </c>
      <c r="I7" s="6" t="n">
        <v>76</v>
      </c>
      <c r="J7" s="6" t="n">
        <v>37</v>
      </c>
    </row>
    <row r="8">
      <c r="A8" s="13" t="inlineStr">
        <is>
          <t>16 jun</t>
        </is>
      </c>
      <c r="B8" s="13" t="inlineStr">
        <is>
          <t>Salmerón+Josué</t>
        </is>
      </c>
      <c r="C8" s="14" t="n">
        <v>7</v>
      </c>
      <c r="D8" s="14" t="n">
        <v>5</v>
      </c>
      <c r="E8" s="6" t="n">
        <v>84</v>
      </c>
      <c r="F8" s="6" t="n">
        <v>7</v>
      </c>
      <c r="G8" s="6" t="n">
        <v>16</v>
      </c>
      <c r="H8" s="6" t="n">
        <v>27</v>
      </c>
      <c r="I8" s="6" t="n">
        <v>72</v>
      </c>
      <c r="J8" s="6" t="n">
        <v>34</v>
      </c>
    </row>
    <row r="9">
      <c r="A9" s="13" t="inlineStr">
        <is>
          <t>17 jun</t>
        </is>
      </c>
      <c r="B9" s="13" t="inlineStr">
        <is>
          <t>Salmerón+Josué</t>
        </is>
      </c>
      <c r="C9" s="14" t="n">
        <v>7</v>
      </c>
      <c r="D9" s="14" t="n">
        <v>5</v>
      </c>
      <c r="E9" s="6" t="n">
        <v>77</v>
      </c>
      <c r="F9" s="6" t="n">
        <v>7</v>
      </c>
      <c r="G9" s="6" t="n">
        <v>15</v>
      </c>
      <c r="H9" s="6" t="n">
        <v>22</v>
      </c>
      <c r="I9" s="6" t="n">
        <v>68</v>
      </c>
      <c r="J9" s="6" t="n">
        <v>32</v>
      </c>
    </row>
    <row r="10">
      <c r="A10" s="13" t="inlineStr">
        <is>
          <t>18 jun</t>
        </is>
      </c>
      <c r="B10" s="13" t="inlineStr">
        <is>
          <t>Josué</t>
        </is>
      </c>
      <c r="C10" s="14" t="n">
        <v>6</v>
      </c>
      <c r="D10" s="14" t="n">
        <v>5</v>
      </c>
      <c r="E10" s="6" t="n">
        <v>71</v>
      </c>
      <c r="F10" s="6" t="n">
        <v>7</v>
      </c>
      <c r="G10" s="6" t="n">
        <v>14</v>
      </c>
      <c r="H10" s="6" t="n">
        <v>17</v>
      </c>
      <c r="I10" s="6" t="n">
        <v>65</v>
      </c>
      <c r="J10" s="6" t="n">
        <v>30</v>
      </c>
    </row>
    <row r="11">
      <c r="A11" s="13" t="inlineStr">
        <is>
          <t>19 jun</t>
        </is>
      </c>
      <c r="B11" s="13" t="inlineStr">
        <is>
          <t>entrega a sitio</t>
        </is>
      </c>
      <c r="C11" s="14" t="n">
        <v>4</v>
      </c>
      <c r="D11" s="14" t="n">
        <v>5</v>
      </c>
      <c r="E11" s="6" t="n">
        <v>67</v>
      </c>
      <c r="F11" s="6" t="n">
        <v>7</v>
      </c>
      <c r="G11" s="6" t="n">
        <v>14</v>
      </c>
      <c r="H11" s="6" t="n">
        <v>12</v>
      </c>
      <c r="I11" s="6" t="n">
        <v>62</v>
      </c>
      <c r="J11" s="6" t="n">
        <v>27</v>
      </c>
    </row>
    <row r="12">
      <c r="A12" s="13" t="inlineStr">
        <is>
          <t>20 jun</t>
        </is>
      </c>
      <c r="B12" s="13" t="inlineStr">
        <is>
          <t>entrega a sitio</t>
        </is>
      </c>
      <c r="C12" s="14" t="n">
        <v>4</v>
      </c>
      <c r="D12" s="14" t="n">
        <v>4</v>
      </c>
      <c r="E12" s="6" t="n">
        <v>63</v>
      </c>
      <c r="F12" s="6" t="n">
        <v>7</v>
      </c>
      <c r="G12" s="6" t="n">
        <v>13</v>
      </c>
      <c r="H12" s="6" t="n">
        <v>8</v>
      </c>
      <c r="I12" s="6" t="n">
        <v>58</v>
      </c>
      <c r="J12" s="6" t="n">
        <v>25</v>
      </c>
    </row>
    <row r="13">
      <c r="A13" s="13" t="inlineStr">
        <is>
          <t>23 jun</t>
        </is>
      </c>
      <c r="B13" s="13" t="inlineStr">
        <is>
          <t>Kevin</t>
        </is>
      </c>
      <c r="C13" s="14" t="n">
        <v>3</v>
      </c>
      <c r="D13" s="14" t="n">
        <v>3</v>
      </c>
      <c r="E13" s="6" t="n">
        <v>60</v>
      </c>
      <c r="F13" s="6" t="n">
        <v>7</v>
      </c>
      <c r="G13" s="6" t="n">
        <v>12</v>
      </c>
      <c r="H13" s="6" t="n">
        <v>5</v>
      </c>
      <c r="I13" s="6" t="n">
        <v>55</v>
      </c>
      <c r="J13" s="6" t="n">
        <v>23</v>
      </c>
    </row>
    <row r="14">
      <c r="A14" s="13" t="inlineStr">
        <is>
          <t>24 jun</t>
        </is>
      </c>
      <c r="B14" s="13" t="inlineStr">
        <is>
          <t>Kevin</t>
        </is>
      </c>
      <c r="C14" s="14" t="n">
        <v>3</v>
      </c>
      <c r="D14" s="14" t="n">
        <v>3</v>
      </c>
      <c r="E14" s="6" t="n">
        <v>57</v>
      </c>
      <c r="F14" s="6" t="n">
        <v>7</v>
      </c>
      <c r="G14" s="6" t="n">
        <v>11</v>
      </c>
      <c r="H14" s="6" t="n">
        <v>2</v>
      </c>
      <c r="I14" s="6" t="n">
        <v>51</v>
      </c>
      <c r="J14" s="6" t="n">
        <v>21</v>
      </c>
    </row>
    <row r="15">
      <c r="A15" s="13" t="inlineStr">
        <is>
          <t>25 jun</t>
        </is>
      </c>
      <c r="B15" s="13" t="inlineStr">
        <is>
          <t>entrega a sitio</t>
        </is>
      </c>
      <c r="C15" s="14" t="n">
        <v>3</v>
      </c>
      <c r="D15" s="14" t="n">
        <v>2</v>
      </c>
      <c r="E15" s="6" t="n">
        <v>54</v>
      </c>
      <c r="F15" s="6" t="n">
        <v>7</v>
      </c>
      <c r="G15" s="6" t="n">
        <v>11</v>
      </c>
      <c r="H15" s="6" t="n">
        <v>0</v>
      </c>
      <c r="I15" s="6" t="n">
        <v>48</v>
      </c>
      <c r="J15" s="6" t="n">
        <v>18</v>
      </c>
    </row>
    <row r="16">
      <c r="A16" s="13" t="inlineStr">
        <is>
          <t>26 jun</t>
        </is>
      </c>
      <c r="B16" s="13" t="inlineStr">
        <is>
          <t>entrega a sitio</t>
        </is>
      </c>
      <c r="C16" s="14" t="n">
        <v>3</v>
      </c>
      <c r="D16" s="14" t="inlineStr"/>
      <c r="E16" s="6" t="n">
        <v>51</v>
      </c>
      <c r="F16" s="6" t="n">
        <v>7</v>
      </c>
      <c r="G16" s="6" t="n">
        <v>10</v>
      </c>
      <c r="H16" s="6" t="n">
        <v>0</v>
      </c>
      <c r="I16" s="6" t="n">
        <v>44</v>
      </c>
      <c r="J16" s="6" t="n">
        <v>16</v>
      </c>
    </row>
    <row r="17">
      <c r="A17" s="15" t="inlineStr">
        <is>
          <t>★ Corte final</t>
        </is>
      </c>
      <c r="B17" s="15" t="inlineStr">
        <is>
          <t>entrega a sitio</t>
        </is>
      </c>
      <c r="C17" s="16" t="n">
        <v>3</v>
      </c>
      <c r="D17" s="16" t="inlineStr"/>
      <c r="E17" s="16" t="n">
        <v>48</v>
      </c>
      <c r="F17" s="16" t="n">
        <v>7</v>
      </c>
      <c r="G17" s="16" t="n">
        <v>9</v>
      </c>
      <c r="H17" s="16" t="n">
        <v>0</v>
      </c>
      <c r="I17" s="16" t="n">
        <v>41</v>
      </c>
      <c r="J17" s="16" t="n">
        <v>14</v>
      </c>
    </row>
  </sheetData>
  <mergeCells count="2"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2026-06-28T07:11:43Z</dcterms:created>
  <dcterms:modified xsi:type="dcterms:W3CDTF">2026-06-28T07:14:17Z</dcterms:modified>
</cp:coreProperties>
</file>