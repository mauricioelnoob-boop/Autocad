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Actual" sheetId="1" state="visible" r:id="rId1"/>
    <sheet name="Historial Lote 34" sheetId="2" state="visible" r:id="rId2"/>
    <sheet name="Historial Lote 9" sheetId="3" state="visible" r:id="rId3"/>
    <sheet name="Historial Lote 10" sheetId="4" state="visible" r:id="rId4"/>
    <sheet name="Historial Lote 33" sheetId="5" state="visible" r:id="rId5"/>
    <sheet name="Historial Lote 19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</font>
    <font>
      <b val="1"/>
      <color rgb="00FFFFFF"/>
    </font>
    <font>
      <b val="1"/>
    </font>
    <font>
      <b val="1"/>
      <color rgb="009C0006"/>
    </font>
    <font>
      <b val="1"/>
      <color rgb="001F4E78"/>
    </font>
    <font>
      <i val="1"/>
      <color rgb="00595959"/>
      <sz val="9"/>
    </font>
    <font>
      <b val="1"/>
      <color rgb="00FFFFFF"/>
      <sz val="14"/>
    </font>
    <font>
      <b val="1"/>
      <color rgb="00833C00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05496"/>
      </patternFill>
    </fill>
    <fill>
      <patternFill patternType="solid">
        <fgColor rgb="002E6DA4"/>
      </patternFill>
    </fill>
    <fill>
      <patternFill patternType="solid">
        <fgColor rgb="002F5496"/>
      </patternFill>
    </fill>
    <fill>
      <patternFill patternType="solid">
        <fgColor rgb="00FCF3CF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0" borderId="1" pivotButton="0" quotePrefix="0" xfId="0"/>
    <xf numFmtId="0" fontId="4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8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0" borderId="0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0006"/>
      </font>
      <fill>
        <patternFill patternType="solid">
          <fgColor rgb="00F8B7BD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1F4E78"/>
      </font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Hist_L34" displayName="Hist_L34" ref="A5:N28" headerRowCount="1">
  <autoFilter ref="A5:N28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Hist_L9" displayName="Hist_L9" ref="A5:N30" headerRowCount="1">
  <autoFilter ref="A5:N30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Hist_L10" displayName="Hist_L10" ref="A5:N34" headerRowCount="1">
  <autoFilter ref="A5:N34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Hist_L33" displayName="Hist_L33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Unicrest"/>
    <tableColumn id="9" name="Piso Moret"/>
    <tableColumn id="10" name="Urbania White"/>
    <tableColumn id="11" name="Malla Lyndhurst"/>
    <tableColumn id="12" name="Royal Walnut"/>
    <tableColumn id="13" name="Pegavitro"/>
    <tableColumn id="14" name="Unicrest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id="5" name="Hist_L19" displayName="Hist_L19" ref="A5:N37" headerRowCount="1">
  <autoFilter ref="A5:N37"/>
  <tableColumns count="14">
    <tableColumn id="1" name="Fecha"/>
    <tableColumn id="2" name="Pisero"/>
    <tableColumn id="3" name="Salió Moret"/>
    <tableColumn id="4" name="Salió Urbania"/>
    <tableColumn id="5" name="Salió Malla"/>
    <tableColumn id="6" name="Salió Duela"/>
    <tableColumn id="7" name="Salió Pegavitro"/>
    <tableColumn id="8" name="Salió Porcelánico"/>
    <tableColumn id="9" name="Piso Moret"/>
    <tableColumn id="10" name="Urbania White"/>
    <tableColumn id="11" name="Malla Lyndhurst"/>
    <tableColumn id="12" name="Royal Walnut"/>
    <tableColumn id="13" name="Pegavitro"/>
    <tableColumn id="14" name="Fija Porcelánico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9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" customWidth="1" min="3" max="3"/>
    <col width="10" customWidth="1" min="4" max="4"/>
    <col width="12" customWidth="1" min="5" max="5"/>
    <col width="26" customWidth="1" min="6" max="6"/>
  </cols>
  <sheetData>
    <row r="2">
      <c r="B2" s="1" t="inlineStr">
        <is>
          <t>INVENTARIO DE ALMACÉN — VITROPISOS</t>
        </is>
      </c>
    </row>
    <row r="3">
      <c r="B3" s="2" t="inlineStr">
        <is>
          <t>Estado actual por lote · Actualizado a junio 2026</t>
        </is>
      </c>
    </row>
    <row r="5">
      <c r="B5" s="3" t="inlineStr">
        <is>
          <t>📦  LOTE 10 (MERLOT) MZA 7   ·   ACTIVO</t>
        </is>
      </c>
    </row>
    <row r="6">
      <c r="B6" s="4" t="inlineStr">
        <is>
          <t>Material</t>
        </is>
      </c>
      <c r="C6" s="4" t="inlineStr">
        <is>
          <t>Inicial</t>
        </is>
      </c>
      <c r="D6" s="4" t="inlineStr">
        <is>
          <t>Actual</t>
        </is>
      </c>
      <c r="E6" s="4" t="inlineStr">
        <is>
          <t>Estado</t>
        </is>
      </c>
      <c r="F6" s="4" t="inlineStr">
        <is>
          <t>Notas</t>
        </is>
      </c>
    </row>
    <row r="7">
      <c r="B7" s="5" t="inlineStr">
        <is>
          <t>Piso Moret</t>
        </is>
      </c>
      <c r="C7" s="6" t="n">
        <v>98</v>
      </c>
      <c r="D7" s="6" t="n">
        <v>45</v>
      </c>
      <c r="E7" s="7">
        <f>IF(D7=0,"AGOTADO",IF(D7/C7&lt;=0.15,"CRÍTICO",IF(D7/C7&lt;=0.4,"BAJO","OK")))</f>
        <v/>
      </c>
      <c r="F7" s="8" t="n"/>
    </row>
    <row r="8">
      <c r="B8" s="5" t="inlineStr">
        <is>
          <t>Royal Walnut (duela)</t>
        </is>
      </c>
      <c r="C8" s="6" t="n">
        <v>37</v>
      </c>
      <c r="D8" s="6" t="n">
        <v>0</v>
      </c>
      <c r="E8" s="7">
        <f>IF(D8=0,"AGOTADO",IF(D8/C8&lt;=0.15,"CRÍTICO",IF(D8/C8&lt;=0.4,"BAJO","OK")))</f>
        <v/>
      </c>
      <c r="F8" s="8" t="n"/>
    </row>
    <row r="9">
      <c r="B9" s="5" t="inlineStr">
        <is>
          <t>Urbania White</t>
        </is>
      </c>
      <c r="C9" s="6" t="n">
        <v>7</v>
      </c>
      <c r="D9" s="6" t="n">
        <v>7</v>
      </c>
      <c r="E9" s="7">
        <f>IF(D9=0,"AGOTADO",IF(D9/C9&lt;=0.15,"CRÍTICO",IF(D9/C9&lt;=0.4,"BAJO","OK")))</f>
        <v/>
      </c>
      <c r="F9" s="8" t="n"/>
    </row>
    <row r="10">
      <c r="B10" s="5" t="inlineStr">
        <is>
          <t>Malla Lyndhurst</t>
        </is>
      </c>
      <c r="C10" s="6" t="n">
        <v>17</v>
      </c>
      <c r="D10" s="6" t="n">
        <v>9</v>
      </c>
      <c r="E10" s="7">
        <f>IF(D10=0,"AGOTADO",IF(D10/C10&lt;=0.15,"CRÍTICO",IF(D10/C10&lt;=0.4,"BAJO","OK")))</f>
        <v/>
      </c>
      <c r="F10" s="8" t="n"/>
    </row>
    <row r="11">
      <c r="B11" s="5" t="inlineStr">
        <is>
          <t>Pegavitro</t>
        </is>
      </c>
      <c r="C11" s="6" t="n">
        <v>79</v>
      </c>
      <c r="D11" s="6" t="n">
        <v>38</v>
      </c>
      <c r="E11" s="7">
        <f>IF(D11=0,"AGOTADO",IF(D11/C11&lt;=0.15,"CRÍTICO",IF(D11/C11&lt;=0.4,"BAJO","OK")))</f>
        <v/>
      </c>
      <c r="F11" s="8" t="n"/>
    </row>
    <row r="12">
      <c r="B12" s="5" t="inlineStr">
        <is>
          <t>Fija Porcelánico</t>
        </is>
      </c>
      <c r="C12" s="6" t="n">
        <v>39</v>
      </c>
      <c r="D12" s="6" t="n">
        <v>14</v>
      </c>
      <c r="E12" s="7">
        <f>IF(D12=0,"AGOTADO",IF(D12/C12&lt;=0.15,"CRÍTICO",IF(D12/C12&lt;=0.4,"BAJO","OK")))</f>
        <v/>
      </c>
      <c r="F12" s="8" t="n"/>
    </row>
    <row r="14">
      <c r="B14" s="3" t="inlineStr">
        <is>
          <t>📦  LOTE 34 (CABERNET) MZA 14</t>
        </is>
      </c>
    </row>
    <row r="15">
      <c r="B15" s="4" t="inlineStr">
        <is>
          <t>Material</t>
        </is>
      </c>
      <c r="C15" s="4" t="inlineStr">
        <is>
          <t>Inicial</t>
        </is>
      </c>
      <c r="D15" s="4" t="inlineStr">
        <is>
          <t>Actual</t>
        </is>
      </c>
      <c r="E15" s="4" t="inlineStr">
        <is>
          <t>Estado</t>
        </is>
      </c>
      <c r="F15" s="4" t="inlineStr">
        <is>
          <t>Notas</t>
        </is>
      </c>
    </row>
    <row r="16">
      <c r="B16" s="5" t="inlineStr">
        <is>
          <t>Piso Moret</t>
        </is>
      </c>
      <c r="C16" s="6" t="n">
        <v>117</v>
      </c>
      <c r="D16" s="6" t="n">
        <v>0</v>
      </c>
      <c r="E16" s="7">
        <f>IF(D16=0,"AGOTADO",IF(D16/C16&lt;=0.15,"CRÍTICO",IF(D16/C16&lt;=0.4,"BAJO","OK")))</f>
        <v/>
      </c>
      <c r="F16" s="8" t="n"/>
    </row>
    <row r="17">
      <c r="B17" s="5" t="inlineStr">
        <is>
          <t>Urbania White</t>
        </is>
      </c>
      <c r="C17" s="6" t="n">
        <v>8</v>
      </c>
      <c r="D17" s="6" t="n">
        <v>0</v>
      </c>
      <c r="E17" s="7">
        <f>IF(D17=0,"AGOTADO",IF(D17/C17&lt;=0.15,"CRÍTICO",IF(D17/C17&lt;=0.4,"BAJO","OK")))</f>
        <v/>
      </c>
      <c r="F17" s="8" t="n"/>
    </row>
    <row r="18">
      <c r="B18" s="5" t="inlineStr">
        <is>
          <t>Malla Lyndhurst</t>
        </is>
      </c>
      <c r="C18" s="6" t="n">
        <v>28</v>
      </c>
      <c r="D18" s="6" t="n">
        <v>0</v>
      </c>
      <c r="E18" s="7">
        <f>IF(D18=0,"AGOTADO",IF(D18/C18&lt;=0.15,"CRÍTICO",IF(D18/C18&lt;=0.4,"BAJO","OK")))</f>
        <v/>
      </c>
      <c r="F18" s="8" t="n"/>
    </row>
    <row r="19">
      <c r="B19" s="5" t="inlineStr">
        <is>
          <t>Royal Walnut (duela)</t>
        </is>
      </c>
      <c r="C19" s="6" t="n">
        <v>41</v>
      </c>
      <c r="D19" s="6" t="n">
        <v>0</v>
      </c>
      <c r="E19" s="7">
        <f>IF(D19=0,"AGOTADO",IF(D19/C19&lt;=0.15,"CRÍTICO",IF(D19/C19&lt;=0.4,"BAJO","OK")))</f>
        <v/>
      </c>
      <c r="F19" s="8" t="n"/>
    </row>
    <row r="20">
      <c r="B20" s="5" t="inlineStr">
        <is>
          <t>Pegavitro</t>
        </is>
      </c>
      <c r="C20" s="6" t="n">
        <v>93</v>
      </c>
      <c r="D20" s="6" t="n">
        <v>0</v>
      </c>
      <c r="E20" s="7">
        <f>IF(D20=0,"AGOTADO",IF(D20/C20&lt;=0.15,"CRÍTICO",IF(D20/C20&lt;=0.4,"BAJO","OK")))</f>
        <v/>
      </c>
      <c r="F20" s="8" t="n"/>
    </row>
    <row r="21">
      <c r="B21" s="5" t="inlineStr">
        <is>
          <t>Unicrest</t>
        </is>
      </c>
      <c r="C21" s="6" t="n">
        <v>20</v>
      </c>
      <c r="D21" s="6" t="n">
        <v>0</v>
      </c>
      <c r="E21" s="7">
        <f>IF(D21=0,"AGOTADO",IF(D21/C21&lt;=0.15,"CRÍTICO",IF(D21/C21&lt;=0.4,"BAJO","OK")))</f>
        <v/>
      </c>
      <c r="F21" s="8" t="n"/>
    </row>
    <row r="22">
      <c r="B22" s="5" t="inlineStr">
        <is>
          <t>Vitroblock P.A. (pza)</t>
        </is>
      </c>
      <c r="C22" s="6" t="n">
        <v>28</v>
      </c>
      <c r="D22" s="6" t="n">
        <v>0</v>
      </c>
      <c r="E22" s="7">
        <f>IF(D22=0,"AGOTADO",IF(D22/C22&lt;=0.15,"CRÍTICO",IF(D22/C22&lt;=0.4,"BAJO","OK")))</f>
        <v/>
      </c>
      <c r="F22" s="8" t="n"/>
    </row>
    <row r="24">
      <c r="B24" s="3" t="inlineStr">
        <is>
          <t>📦  LOTE 9 (MERLOT) MZA 7</t>
        </is>
      </c>
    </row>
    <row r="25">
      <c r="B25" s="4" t="inlineStr">
        <is>
          <t>Material</t>
        </is>
      </c>
      <c r="C25" s="4" t="inlineStr">
        <is>
          <t>Inicial</t>
        </is>
      </c>
      <c r="D25" s="4" t="inlineStr">
        <is>
          <t>Actual</t>
        </is>
      </c>
      <c r="E25" s="4" t="inlineStr">
        <is>
          <t>Estado</t>
        </is>
      </c>
      <c r="F25" s="4" t="inlineStr">
        <is>
          <t>Notas</t>
        </is>
      </c>
    </row>
    <row r="26">
      <c r="B26" s="5" t="inlineStr">
        <is>
          <t>Piso Moret</t>
        </is>
      </c>
      <c r="C26" s="6" t="n">
        <v>98</v>
      </c>
      <c r="D26" s="6" t="n">
        <v>0</v>
      </c>
      <c r="E26" s="7">
        <f>IF(D26=0,"AGOTADO",IF(D26/C26&lt;=0.15,"CRÍTICO",IF(D26/C26&lt;=0.4,"BAJO","OK")))</f>
        <v/>
      </c>
      <c r="F26" s="8" t="n"/>
    </row>
    <row r="27">
      <c r="B27" s="5" t="inlineStr">
        <is>
          <t>Urbania White</t>
        </is>
      </c>
      <c r="C27" s="6" t="n">
        <v>8</v>
      </c>
      <c r="D27" s="6" t="n">
        <v>0</v>
      </c>
      <c r="E27" s="7">
        <f>IF(D27=0,"AGOTADO",IF(D27/C27&lt;=0.15,"CRÍTICO",IF(D27/C27&lt;=0.4,"BAJO","OK")))</f>
        <v/>
      </c>
      <c r="F27" s="8" t="n"/>
    </row>
    <row r="28">
      <c r="B28" s="5" t="inlineStr">
        <is>
          <t>Malla Lyndhurst</t>
        </is>
      </c>
      <c r="C28" s="6" t="n">
        <v>17</v>
      </c>
      <c r="D28" s="6" t="n">
        <v>13</v>
      </c>
      <c r="E28" s="7">
        <f>IF(D28=0,"AGOTADO",IF(D28/C28&lt;=0.15,"CRÍTICO",IF(D28/C28&lt;=0.4,"BAJO","OK")))</f>
        <v/>
      </c>
      <c r="F28" s="8" t="n"/>
    </row>
    <row r="29">
      <c r="B29" s="5" t="inlineStr">
        <is>
          <t>Royal Walnut (duela)</t>
        </is>
      </c>
      <c r="C29" s="6" t="n">
        <v>37</v>
      </c>
      <c r="D29" s="6" t="n">
        <v>0</v>
      </c>
      <c r="E29" s="7">
        <f>IF(D29=0,"AGOTADO",IF(D29/C29&lt;=0.15,"CRÍTICO",IF(D29/C29&lt;=0.4,"BAJO","OK")))</f>
        <v/>
      </c>
      <c r="F29" s="8" t="n"/>
    </row>
    <row r="30">
      <c r="B30" s="5" t="inlineStr">
        <is>
          <t>Pegavitro</t>
        </is>
      </c>
      <c r="C30" s="6" t="n">
        <v>79</v>
      </c>
      <c r="D30" s="6" t="n">
        <v>0</v>
      </c>
      <c r="E30" s="7">
        <f>IF(D30=0,"AGOTADO",IF(D30/C30&lt;=0.15,"CRÍTICO",IF(D30/C30&lt;=0.4,"BAJO","OK")))</f>
        <v/>
      </c>
      <c r="F30" s="8" t="n"/>
    </row>
    <row r="31">
      <c r="B31" s="5" t="inlineStr">
        <is>
          <t>Fija Porcelánico</t>
        </is>
      </c>
      <c r="C31" s="6" t="n">
        <v>39</v>
      </c>
      <c r="D31" s="6" t="n">
        <v>0</v>
      </c>
      <c r="E31" s="7">
        <f>IF(D31=0,"AGOTADO",IF(D31/C31&lt;=0.15,"CRÍTICO",IF(D31/C31&lt;=0.4,"BAJO","OK")))</f>
        <v/>
      </c>
      <c r="F31" s="8" t="n"/>
    </row>
    <row r="33">
      <c r="B33" s="9" t="inlineStr">
        <is>
          <t>🚚  LOTE 33 (CABERNET) MZA 14  ·  POR LLEGAR</t>
        </is>
      </c>
    </row>
    <row r="34">
      <c r="B34" s="4" t="inlineStr">
        <is>
          <t>Material</t>
        </is>
      </c>
      <c r="C34" s="4" t="inlineStr">
        <is>
          <t>Esperado</t>
        </is>
      </c>
      <c r="D34" s="4" t="inlineStr">
        <is>
          <t>Actual</t>
        </is>
      </c>
      <c r="E34" s="4" t="inlineStr">
        <is>
          <t>Estado</t>
        </is>
      </c>
      <c r="F34" s="4" t="inlineStr">
        <is>
          <t>Notas</t>
        </is>
      </c>
    </row>
    <row r="35">
      <c r="B35" s="5" t="inlineStr">
        <is>
          <t>Piso Moret</t>
        </is>
      </c>
      <c r="C35" s="6" t="n">
        <v>117</v>
      </c>
      <c r="D35" s="8" t="n"/>
      <c r="E35" s="10">
        <f>IF(D35="","POR LLEGAR",IF(C35="","—",IF(D35=0,"AGOTADO",IF(D35/C35&lt;=0.15,"CRÍTICO",IF(D35/C35&lt;=0.4,"BAJO","OK")))))</f>
        <v/>
      </c>
      <c r="F35" s="11" t="inlineStr">
        <is>
          <t>Llena 'Actual' cuando llegue el material</t>
        </is>
      </c>
    </row>
    <row r="36">
      <c r="B36" s="5" t="inlineStr">
        <is>
          <t>Urbania White</t>
        </is>
      </c>
      <c r="C36" s="6" t="n">
        <v>8</v>
      </c>
      <c r="D36" s="8" t="n"/>
      <c r="E36" s="10">
        <f>IF(D36="","POR LLEGAR",IF(C36="","—",IF(D36=0,"AGOTADO",IF(D36/C36&lt;=0.15,"CRÍTICO",IF(D36/C36&lt;=0.4,"BAJO","OK")))))</f>
        <v/>
      </c>
      <c r="F36" s="11" t="inlineStr">
        <is>
          <t>Llena 'Actual' cuando llegue el material</t>
        </is>
      </c>
    </row>
    <row r="37">
      <c r="B37" s="5" t="inlineStr">
        <is>
          <t>Malla Lyndhurst</t>
        </is>
      </c>
      <c r="C37" s="6" t="n">
        <v>28</v>
      </c>
      <c r="D37" s="8" t="n"/>
      <c r="E37" s="10">
        <f>IF(D37="","POR LLEGAR",IF(C37="","—",IF(D37=0,"AGOTADO",IF(D37/C37&lt;=0.15,"CRÍTICO",IF(D37/C37&lt;=0.4,"BAJO","OK")))))</f>
        <v/>
      </c>
      <c r="F37" s="11" t="inlineStr">
        <is>
          <t>Llena 'Actual' cuando llegue el material</t>
        </is>
      </c>
    </row>
    <row r="38">
      <c r="B38" s="5" t="inlineStr">
        <is>
          <t>Royal Walnut (duela)</t>
        </is>
      </c>
      <c r="C38" s="6" t="n">
        <v>41</v>
      </c>
      <c r="D38" s="8" t="n"/>
      <c r="E38" s="10">
        <f>IF(D38="","POR LLEGAR",IF(C38="","—",IF(D38=0,"AGOTADO",IF(D38/C38&lt;=0.15,"CRÍTICO",IF(D38/C38&lt;=0.4,"BAJO","OK")))))</f>
        <v/>
      </c>
      <c r="F38" s="11" t="inlineStr">
        <is>
          <t>Llena 'Actual' cuando llegue el material</t>
        </is>
      </c>
    </row>
    <row r="39">
      <c r="B39" s="5" t="inlineStr">
        <is>
          <t>Pegavitro</t>
        </is>
      </c>
      <c r="C39" s="6" t="n">
        <v>93</v>
      </c>
      <c r="D39" s="8" t="n"/>
      <c r="E39" s="10">
        <f>IF(D39="","POR LLEGAR",IF(C39="","—",IF(D39=0,"AGOTADO",IF(D39/C39&lt;=0.15,"CRÍTICO",IF(D39/C39&lt;=0.4,"BAJO","OK")))))</f>
        <v/>
      </c>
      <c r="F39" s="11" t="inlineStr">
        <is>
          <t>Llena 'Actual' cuando llegue el material</t>
        </is>
      </c>
    </row>
    <row r="40">
      <c r="B40" s="5" t="inlineStr">
        <is>
          <t>Unicrest</t>
        </is>
      </c>
      <c r="C40" s="6" t="n">
        <v>20</v>
      </c>
      <c r="D40" s="8" t="n"/>
      <c r="E40" s="10">
        <f>IF(D40="","POR LLEGAR",IF(C40="","—",IF(D40=0,"AGOTADO",IF(D40/C40&lt;=0.15,"CRÍTICO",IF(D40/C40&lt;=0.4,"BAJO","OK")))))</f>
        <v/>
      </c>
      <c r="F40" s="11" t="inlineStr">
        <is>
          <t>Llena 'Actual' cuando llegue el material</t>
        </is>
      </c>
    </row>
    <row r="41">
      <c r="B41" s="5" t="inlineStr">
        <is>
          <t>Vitroblock P.A. (pza)</t>
        </is>
      </c>
      <c r="C41" s="6" t="n">
        <v>28</v>
      </c>
      <c r="D41" s="8" t="n"/>
      <c r="E41" s="10">
        <f>IF(D41="","POR LLEGAR",IF(C41="","—",IF(D41=0,"AGOTADO",IF(D41/C41&lt;=0.15,"CRÍTICO",IF(D41/C41&lt;=0.4,"BAJO","OK")))))</f>
        <v/>
      </c>
      <c r="F41" s="11" t="inlineStr">
        <is>
          <t>Llena 'Actual' cuando llegue el material</t>
        </is>
      </c>
    </row>
    <row r="43">
      <c r="B43" s="9" t="inlineStr">
        <is>
          <t>🚚  LOTE 19 (CHARDONNAY) MZA 7  ·  POR LLEGAR</t>
        </is>
      </c>
    </row>
    <row r="44">
      <c r="B44" s="4" t="inlineStr">
        <is>
          <t>Material</t>
        </is>
      </c>
      <c r="C44" s="4" t="inlineStr">
        <is>
          <t>Esperado</t>
        </is>
      </c>
      <c r="D44" s="4" t="inlineStr">
        <is>
          <t>Actual</t>
        </is>
      </c>
      <c r="E44" s="4" t="inlineStr">
        <is>
          <t>Estado</t>
        </is>
      </c>
      <c r="F44" s="4" t="inlineStr">
        <is>
          <t>Notas</t>
        </is>
      </c>
    </row>
    <row r="45">
      <c r="B45" s="5" t="inlineStr">
        <is>
          <t>Piso Moret</t>
        </is>
      </c>
      <c r="C45" s="6" t="n">
        <v>127</v>
      </c>
      <c r="D45" s="8" t="n"/>
      <c r="E45" s="10">
        <f>IF(D45="","POR LLEGAR",IF(C45="","—",IF(D45=0,"AGOTADO",IF(D45/C45&lt;=0.15,"CRÍTICO",IF(D45/C45&lt;=0.4,"BAJO","OK")))))</f>
        <v/>
      </c>
      <c r="F45" s="11" t="inlineStr">
        <is>
          <t>Esperado del presupuesto; adhesivos por confirmar al llegar</t>
        </is>
      </c>
    </row>
    <row r="46">
      <c r="B46" s="5" t="inlineStr">
        <is>
          <t>Urbania White</t>
        </is>
      </c>
      <c r="C46" s="6" t="n">
        <v>8</v>
      </c>
      <c r="D46" s="8" t="n"/>
      <c r="E46" s="10">
        <f>IF(D46="","POR LLEGAR",IF(C46="","—",IF(D46=0,"AGOTADO",IF(D46/C46&lt;=0.15,"CRÍTICO",IF(D46/C46&lt;=0.4,"BAJO","OK")))))</f>
        <v/>
      </c>
      <c r="F46" s="11" t="inlineStr">
        <is>
          <t>Esperado del presupuesto; adhesivos por confirmar al llegar</t>
        </is>
      </c>
    </row>
    <row r="47">
      <c r="B47" s="5" t="inlineStr">
        <is>
          <t>Malla Lyndhurst</t>
        </is>
      </c>
      <c r="C47" s="6" t="n">
        <v>28</v>
      </c>
      <c r="D47" s="8" t="n"/>
      <c r="E47" s="10">
        <f>IF(D47="","POR LLEGAR",IF(C47="","—",IF(D47=0,"AGOTADO",IF(D47/C47&lt;=0.15,"CRÍTICO",IF(D47/C47&lt;=0.4,"BAJO","OK")))))</f>
        <v/>
      </c>
      <c r="F47" s="11" t="inlineStr">
        <is>
          <t>Esperado del presupuesto; adhesivos por confirmar al llegar</t>
        </is>
      </c>
    </row>
    <row r="48">
      <c r="B48" s="5" t="inlineStr">
        <is>
          <t>Royal Walnut (duela)</t>
        </is>
      </c>
      <c r="C48" s="6" t="n">
        <v>32</v>
      </c>
      <c r="D48" s="8" t="n"/>
      <c r="E48" s="10">
        <f>IF(D48="","POR LLEGAR",IF(C48="","—",IF(D48=0,"AGOTADO",IF(D48/C48&lt;=0.15,"CRÍTICO",IF(D48/C48&lt;=0.4,"BAJO","OK")))))</f>
        <v/>
      </c>
      <c r="F48" s="11" t="inlineStr">
        <is>
          <t>Esperado del presupuesto; adhesivos por confirmar al llegar</t>
        </is>
      </c>
    </row>
    <row r="49">
      <c r="B49" s="5" t="inlineStr">
        <is>
          <t>Pegavitro</t>
        </is>
      </c>
      <c r="C49" s="8" t="n"/>
      <c r="D49" s="8" t="n"/>
      <c r="E49" s="10">
        <f>IF(D49="","POR LLEGAR",IF(C49="","—",IF(D49=0,"AGOTADO",IF(D49/C49&lt;=0.15,"CRÍTICO",IF(D49/C49&lt;=0.4,"BAJO","OK")))))</f>
        <v/>
      </c>
      <c r="F49" s="11" t="inlineStr">
        <is>
          <t>Esperado del presupuesto; adhesivos por confirmar al llegar</t>
        </is>
      </c>
    </row>
    <row r="50">
      <c r="B50" s="5" t="inlineStr">
        <is>
          <t>Fija Porcelánico</t>
        </is>
      </c>
      <c r="C50" s="8" t="n"/>
      <c r="D50" s="8" t="n"/>
      <c r="E50" s="10">
        <f>IF(D50="","POR LLEGAR",IF(C50="","—",IF(D50=0,"AGOTADO",IF(D50/C50&lt;=0.15,"CRÍTICO",IF(D50/C50&lt;=0.4,"BAJO","OK")))))</f>
        <v/>
      </c>
      <c r="F50" s="11" t="inlineStr">
        <is>
          <t>Esperado del presupuesto; adhesivos por confirmar al llegar</t>
        </is>
      </c>
    </row>
    <row r="52">
      <c r="B52" s="3" t="inlineStr">
        <is>
          <t>🧰  EXTRAS Y GENERAL · ALMACÉN</t>
        </is>
      </c>
    </row>
    <row r="53">
      <c r="B53" s="12" t="inlineStr">
        <is>
          <t>Boquilla Crest Cantera 5 kg</t>
        </is>
      </c>
      <c r="C53" s="13" t="inlineStr">
        <is>
          <t>3 cajas</t>
        </is>
      </c>
      <c r="D53" s="14" t="n"/>
      <c r="E53" s="14" t="n"/>
      <c r="F53" s="14" t="n"/>
    </row>
    <row r="54">
      <c r="B54" s="12" t="inlineStr">
        <is>
          <t>Boquilla Crest Blanco 5 kg</t>
        </is>
      </c>
      <c r="C54" s="13" t="inlineStr">
        <is>
          <t>2 cajas</t>
        </is>
      </c>
      <c r="D54" s="14" t="n"/>
      <c r="E54" s="14" t="n"/>
      <c r="F54" s="14" t="n"/>
    </row>
    <row r="55">
      <c r="B55" s="12" t="inlineStr">
        <is>
          <t>Boquilla Crest Chocolate 5 kg</t>
        </is>
      </c>
      <c r="C55" s="13" t="inlineStr">
        <is>
          <t>2 cajas</t>
        </is>
      </c>
      <c r="D55" s="14" t="n"/>
      <c r="E55" s="14" t="n"/>
      <c r="F55" s="14" t="n"/>
    </row>
    <row r="56">
      <c r="B56" s="12" t="inlineStr">
        <is>
          <t>Boquilla Crest Plata 5 kg</t>
        </is>
      </c>
      <c r="C56" s="13" t="inlineStr">
        <is>
          <t>AGOTADA (0)</t>
        </is>
      </c>
      <c r="D56" s="14" t="n"/>
      <c r="E56" s="14" t="n"/>
      <c r="F56" s="14" t="n"/>
    </row>
    <row r="57">
      <c r="B57" s="12" t="inlineStr">
        <is>
          <t>Kretbond 20 kg (basecoat)</t>
        </is>
      </c>
      <c r="C57" s="13" t="inlineStr">
        <is>
          <t>5 sacos</t>
        </is>
      </c>
      <c r="D57" s="14" t="n"/>
      <c r="E57" s="14" t="n"/>
      <c r="F57" s="14" t="n"/>
    </row>
    <row r="58">
      <c r="B58" s="12" t="inlineStr">
        <is>
          <t>Econotex/Recubritech fino 20 kg</t>
        </is>
      </c>
      <c r="C58" s="13" t="inlineStr">
        <is>
          <t>2 sacos</t>
        </is>
      </c>
      <c r="D58" s="14" t="n"/>
      <c r="E58" s="14" t="n"/>
      <c r="F58" s="14" t="n"/>
    </row>
    <row r="59">
      <c r="B59" s="12" t="inlineStr">
        <is>
          <t>BlueFence 20 lt (impermeabilizante)</t>
        </is>
      </c>
      <c r="C59" s="13" t="inlineStr">
        <is>
          <t>1 cubeta</t>
        </is>
      </c>
      <c r="D59" s="14" t="n"/>
      <c r="E59" s="14" t="n"/>
      <c r="F59" s="14" t="n"/>
    </row>
  </sheetData>
  <mergeCells count="8">
    <mergeCell ref="B43:F43"/>
    <mergeCell ref="B24:F24"/>
    <mergeCell ref="B2:F2"/>
    <mergeCell ref="B33:F33"/>
    <mergeCell ref="B3:F3"/>
    <mergeCell ref="B5:F5"/>
    <mergeCell ref="B14:F14"/>
    <mergeCell ref="B52:F52"/>
  </mergeCells>
  <conditionalFormatting sqref="E7:E12">
    <cfRule type="cellIs" priority="1" operator="equal" dxfId="0">
      <formula>"AGOTADO"</formula>
    </cfRule>
    <cfRule type="cellIs" priority="2" operator="equal" dxfId="1">
      <formula>"CRÍTICO"</formula>
    </cfRule>
    <cfRule type="cellIs" priority="3" operator="equal" dxfId="2">
      <formula>"BAJO"</formula>
    </cfRule>
    <cfRule type="cellIs" priority="4" operator="equal" dxfId="3">
      <formula>"OK"</formula>
    </cfRule>
    <cfRule type="cellIs" priority="5" operator="equal" dxfId="4">
      <formula>"POR LLEGAR"</formula>
    </cfRule>
  </conditionalFormatting>
  <conditionalFormatting sqref="E16:E22">
    <cfRule type="cellIs" priority="6" operator="equal" dxfId="0">
      <formula>"AGOTADO"</formula>
    </cfRule>
    <cfRule type="cellIs" priority="7" operator="equal" dxfId="1">
      <formula>"CRÍTICO"</formula>
    </cfRule>
    <cfRule type="cellIs" priority="8" operator="equal" dxfId="2">
      <formula>"BAJO"</formula>
    </cfRule>
    <cfRule type="cellIs" priority="9" operator="equal" dxfId="3">
      <formula>"OK"</formula>
    </cfRule>
    <cfRule type="cellIs" priority="10" operator="equal" dxfId="4">
      <formula>"POR LLEGAR"</formula>
    </cfRule>
  </conditionalFormatting>
  <conditionalFormatting sqref="E26:E31">
    <cfRule type="cellIs" priority="11" operator="equal" dxfId="0">
      <formula>"AGOTADO"</formula>
    </cfRule>
    <cfRule type="cellIs" priority="12" operator="equal" dxfId="1">
      <formula>"CRÍTICO"</formula>
    </cfRule>
    <cfRule type="cellIs" priority="13" operator="equal" dxfId="2">
      <formula>"BAJO"</formula>
    </cfRule>
    <cfRule type="cellIs" priority="14" operator="equal" dxfId="3">
      <formula>"OK"</formula>
    </cfRule>
    <cfRule type="cellIs" priority="15" operator="equal" dxfId="4">
      <formula>"POR LLEGAR"</formula>
    </cfRule>
  </conditionalFormatting>
  <conditionalFormatting sqref="E35:E41">
    <cfRule type="cellIs" priority="16" operator="equal" dxfId="0">
      <formula>"AGOTADO"</formula>
    </cfRule>
    <cfRule type="cellIs" priority="17" operator="equal" dxfId="1">
      <formula>"CRÍTICO"</formula>
    </cfRule>
    <cfRule type="cellIs" priority="18" operator="equal" dxfId="2">
      <formula>"BAJO"</formula>
    </cfRule>
    <cfRule type="cellIs" priority="19" operator="equal" dxfId="3">
      <formula>"OK"</formula>
    </cfRule>
    <cfRule type="cellIs" priority="20" operator="equal" dxfId="4">
      <formula>"POR LLEGAR"</formula>
    </cfRule>
  </conditionalFormatting>
  <conditionalFormatting sqref="E45:E50">
    <cfRule type="cellIs" priority="21" operator="equal" dxfId="0">
      <formula>"AGOTADO"</formula>
    </cfRule>
    <cfRule type="cellIs" priority="22" operator="equal" dxfId="1">
      <formula>"CRÍTICO"</formula>
    </cfRule>
    <cfRule type="cellIs" priority="23" operator="equal" dxfId="2">
      <formula>"BAJO"</formula>
    </cfRule>
    <cfRule type="cellIs" priority="24" operator="equal" dxfId="3">
      <formula>"OK"</formula>
    </cfRule>
    <cfRule type="cellIs" priority="25" operator="equal" dxfId="4">
      <formula>"POR LLEGAR"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N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34 MZA 14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inlineStr">
        <is>
          <t>30 abr</t>
        </is>
      </c>
      <c r="B7" s="22" t="inlineStr">
        <is>
          <t>Jesús Valdez</t>
        </is>
      </c>
      <c r="C7" s="23" t="n">
        <v>7</v>
      </c>
      <c r="D7" s="23" t="n"/>
      <c r="E7" s="23" t="n"/>
      <c r="F7" s="23" t="n">
        <v>5</v>
      </c>
      <c r="G7" s="23" t="n">
        <v>9</v>
      </c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01 may</t>
        </is>
      </c>
      <c r="B8" s="22" t="inlineStr">
        <is>
          <t>Jesús Valdez</t>
        </is>
      </c>
      <c r="C8" s="23" t="n"/>
      <c r="D8" s="23" t="n"/>
      <c r="E8" s="23" t="n"/>
      <c r="F8" s="23" t="n">
        <v>10</v>
      </c>
      <c r="G8" s="23" t="n">
        <v>10</v>
      </c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02 may</t>
        </is>
      </c>
      <c r="B9" s="22" t="inlineStr">
        <is>
          <t>Jesús Valdez</t>
        </is>
      </c>
      <c r="C9" s="23" t="n"/>
      <c r="D9" s="23" t="n"/>
      <c r="E9" s="23" t="n"/>
      <c r="F9" s="23" t="n">
        <v>4</v>
      </c>
      <c r="G9" s="23" t="n">
        <v>5</v>
      </c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05 may</t>
        </is>
      </c>
      <c r="B10" s="22" t="inlineStr">
        <is>
          <t>Jesús Valdez</t>
        </is>
      </c>
      <c r="C10" s="23" t="n">
        <v>5</v>
      </c>
      <c r="D10" s="23" t="n"/>
      <c r="E10" s="23" t="n"/>
      <c r="F10" s="23" t="n">
        <v>5</v>
      </c>
      <c r="G10" s="23" t="n">
        <v>10</v>
      </c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06 may</t>
        </is>
      </c>
      <c r="B11" s="22" t="inlineStr">
        <is>
          <t>Jesús Valdez</t>
        </is>
      </c>
      <c r="C11" s="23" t="n"/>
      <c r="D11" s="23" t="n"/>
      <c r="E11" s="23" t="n"/>
      <c r="F11" s="23" t="n">
        <v>3</v>
      </c>
      <c r="G11" s="23" t="n">
        <v>4</v>
      </c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07 may</t>
        </is>
      </c>
      <c r="B12" s="22" t="inlineStr">
        <is>
          <t>Jesús Valdez</t>
        </is>
      </c>
      <c r="C12" s="23" t="n">
        <v>5</v>
      </c>
      <c r="D12" s="23" t="n"/>
      <c r="E12" s="23" t="n"/>
      <c r="F12" s="23" t="n">
        <v>12</v>
      </c>
      <c r="G12" s="23" t="n">
        <v>10</v>
      </c>
      <c r="H12" s="23" t="n">
        <v>6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inlineStr">
        <is>
          <t>08 may</t>
        </is>
      </c>
      <c r="B13" s="22" t="inlineStr">
        <is>
          <t>Jesús Valdez</t>
        </is>
      </c>
      <c r="C13" s="23" t="n">
        <v>1</v>
      </c>
      <c r="D13" s="23" t="n"/>
      <c r="E13" s="23" t="n">
        <v>2</v>
      </c>
      <c r="F13" s="23" t="n">
        <v>2</v>
      </c>
      <c r="G13" s="23" t="n">
        <v>4</v>
      </c>
      <c r="H13" s="23" t="n">
        <v>2</v>
      </c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inlineStr">
        <is>
          <t>11 may</t>
        </is>
      </c>
      <c r="B14" s="22" t="inlineStr">
        <is>
          <t>Jesús Valdez</t>
        </is>
      </c>
      <c r="C14" s="23" t="n">
        <v>5</v>
      </c>
      <c r="D14" s="23" t="n">
        <v>1</v>
      </c>
      <c r="E14" s="23" t="n">
        <v>2</v>
      </c>
      <c r="F14" s="23" t="n"/>
      <c r="G14" s="23" t="n"/>
      <c r="H14" s="23" t="n">
        <v>5</v>
      </c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inlineStr">
        <is>
          <t>13 may</t>
        </is>
      </c>
      <c r="B15" s="22" t="inlineStr">
        <is>
          <t>Jesús Valdez</t>
        </is>
      </c>
      <c r="C15" s="23" t="n">
        <v>5</v>
      </c>
      <c r="D15" s="23" t="n">
        <v>1</v>
      </c>
      <c r="E15" s="23" t="n">
        <v>2</v>
      </c>
      <c r="F15" s="23" t="n"/>
      <c r="G15" s="23" t="n">
        <v>5</v>
      </c>
      <c r="H15" s="23" t="n">
        <v>3</v>
      </c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inlineStr">
        <is>
          <t>15 may</t>
        </is>
      </c>
      <c r="B16" s="22" t="inlineStr">
        <is>
          <t>Jesús Valdez</t>
        </is>
      </c>
      <c r="C16" s="23" t="n">
        <v>7</v>
      </c>
      <c r="D16" s="23" t="n"/>
      <c r="E16" s="23" t="n"/>
      <c r="F16" s="23" t="n"/>
      <c r="G16" s="23" t="n">
        <v>2</v>
      </c>
      <c r="H16" s="23" t="n">
        <v>2</v>
      </c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inlineStr">
        <is>
          <t>19 may</t>
        </is>
      </c>
      <c r="B17" s="22" t="inlineStr">
        <is>
          <t>Jaime</t>
        </is>
      </c>
      <c r="C17" s="23" t="n">
        <v>3</v>
      </c>
      <c r="D17" s="23" t="n">
        <v>1</v>
      </c>
      <c r="E17" s="23" t="n">
        <v>4</v>
      </c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inlineStr">
        <is>
          <t>20 may</t>
        </is>
      </c>
      <c r="B18" s="22" t="inlineStr">
        <is>
          <t>Jaime</t>
        </is>
      </c>
      <c r="C18" s="23" t="n"/>
      <c r="D18" s="23" t="n">
        <v>1</v>
      </c>
      <c r="E18" s="23" t="n">
        <v>4</v>
      </c>
      <c r="F18" s="23" t="n"/>
      <c r="G18" s="23" t="n">
        <v>4</v>
      </c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inlineStr">
        <is>
          <t>22 may</t>
        </is>
      </c>
      <c r="B19" s="22" t="inlineStr">
        <is>
          <t>Jaime</t>
        </is>
      </c>
      <c r="C19" s="23" t="n">
        <v>24</v>
      </c>
      <c r="D19" s="23" t="n">
        <v>2</v>
      </c>
      <c r="E19" s="23" t="n">
        <v>8</v>
      </c>
      <c r="F19" s="23" t="n"/>
      <c r="G19" s="23" t="n">
        <v>20</v>
      </c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inlineStr">
        <is>
          <t>01 jun</t>
        </is>
      </c>
      <c r="B20" s="22" t="inlineStr">
        <is>
          <t>Jesús Salmerón</t>
        </is>
      </c>
      <c r="C20" s="23" t="n">
        <v>8</v>
      </c>
      <c r="D20" s="23" t="n">
        <v>1</v>
      </c>
      <c r="E20" s="23" t="n">
        <v>2</v>
      </c>
      <c r="F20" s="23" t="n"/>
      <c r="G20" s="23" t="n">
        <v>2</v>
      </c>
      <c r="H20" s="23" t="n">
        <v>1</v>
      </c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inlineStr">
        <is>
          <t>02 jun</t>
        </is>
      </c>
      <c r="B21" s="22" t="inlineStr">
        <is>
          <t>Jesús Salmerón</t>
        </is>
      </c>
      <c r="C21" s="23" t="n">
        <v>9</v>
      </c>
      <c r="D21" s="23" t="n">
        <v>1</v>
      </c>
      <c r="E21" s="23" t="n">
        <v>2</v>
      </c>
      <c r="F21" s="23" t="n"/>
      <c r="G21" s="23" t="n">
        <v>2</v>
      </c>
      <c r="H21" s="23" t="n">
        <v>1</v>
      </c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inlineStr">
        <is>
          <t>03 jun</t>
        </is>
      </c>
      <c r="B22" s="22" t="inlineStr">
        <is>
          <t>Jesús Salmerón</t>
        </is>
      </c>
      <c r="C22" s="23" t="n">
        <v>10</v>
      </c>
      <c r="D22" s="23" t="n"/>
      <c r="E22" s="23" t="n">
        <v>2</v>
      </c>
      <c r="F22" s="23" t="n"/>
      <c r="G22" s="23" t="n">
        <v>2</v>
      </c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inlineStr">
        <is>
          <t>04 jun</t>
        </is>
      </c>
      <c r="B23" s="22" t="inlineStr">
        <is>
          <t>Jesús Salmerón</t>
        </is>
      </c>
      <c r="C23" s="23" t="n">
        <v>9</v>
      </c>
      <c r="D23" s="23" t="n"/>
      <c r="E23" s="23" t="n"/>
      <c r="F23" s="23" t="n"/>
      <c r="G23" s="23" t="n">
        <v>2</v>
      </c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inlineStr">
        <is>
          <t>05 jun</t>
        </is>
      </c>
      <c r="B24" s="22" t="inlineStr">
        <is>
          <t>Jesús Salmerón</t>
        </is>
      </c>
      <c r="C24" s="23" t="n">
        <v>8</v>
      </c>
      <c r="D24" s="23" t="n"/>
      <c r="E24" s="23" t="n"/>
      <c r="F24" s="23" t="n"/>
      <c r="G24" s="23" t="n">
        <v>1</v>
      </c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inlineStr">
        <is>
          <t>06 jun</t>
        </is>
      </c>
      <c r="B25" s="22" t="inlineStr">
        <is>
          <t>Jesús Salmerón</t>
        </is>
      </c>
      <c r="C25" s="23" t="n">
        <v>7</v>
      </c>
      <c r="D25" s="23" t="n"/>
      <c r="E25" s="23" t="n"/>
      <c r="F25" s="23" t="n"/>
      <c r="G25" s="23" t="n">
        <v>1</v>
      </c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inlineStr">
        <is>
          <t>22 jun</t>
        </is>
      </c>
      <c r="B26" s="22" t="inlineStr">
        <is>
          <t>Jesús Salmerón</t>
        </is>
      </c>
      <c r="C26" s="23" t="n">
        <v>2</v>
      </c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inlineStr">
        <is>
          <t>24 jun</t>
        </is>
      </c>
      <c r="B27" s="22" t="inlineStr">
        <is>
          <t>Jesús Salmerón</t>
        </is>
      </c>
      <c r="C27" s="23" t="n">
        <v>2</v>
      </c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inlineStr">
        <is>
          <t>★ Corte final</t>
        </is>
      </c>
      <c r="B28" s="22" t="inlineStr"/>
      <c r="C28" s="23" t="n"/>
      <c r="D28" s="23" t="n"/>
      <c r="E28" s="23" t="n"/>
      <c r="F28" s="23" t="n"/>
      <c r="G28" s="23" t="n"/>
      <c r="H28" s="23" t="n"/>
      <c r="I28" s="26">
        <f>I27-C28</f>
        <v/>
      </c>
      <c r="J28" s="26">
        <f>J27-D28</f>
        <v/>
      </c>
      <c r="K28" s="26">
        <f>K27-E28</f>
        <v/>
      </c>
      <c r="L28" s="26">
        <f>L27-F28</f>
        <v/>
      </c>
      <c r="M28" s="26">
        <f>M27-G28</f>
        <v/>
      </c>
      <c r="N28" s="26">
        <f>N27-H28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N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9 MZA 7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8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20 may</t>
        </is>
      </c>
      <c r="B7" s="22" t="inlineStr">
        <is>
          <t>Miguel Cortez</t>
        </is>
      </c>
      <c r="C7" s="23" t="n">
        <v>2</v>
      </c>
      <c r="D7" s="23" t="n"/>
      <c r="E7" s="23" t="n"/>
      <c r="F7" s="23" t="n">
        <v>5</v>
      </c>
      <c r="G7" s="23" t="n">
        <v>5</v>
      </c>
      <c r="H7" s="23" t="n">
        <v>3</v>
      </c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21 may</t>
        </is>
      </c>
      <c r="B8" s="22" t="inlineStr">
        <is>
          <t>Miguel Cortez</t>
        </is>
      </c>
      <c r="C8" s="23" t="n">
        <v>2</v>
      </c>
      <c r="D8" s="23" t="n"/>
      <c r="E8" s="23" t="n"/>
      <c r="F8" s="23" t="n">
        <v>5</v>
      </c>
      <c r="G8" s="23" t="n">
        <v>5</v>
      </c>
      <c r="H8" s="23" t="n">
        <v>3</v>
      </c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22 may</t>
        </is>
      </c>
      <c r="B9" s="22" t="inlineStr">
        <is>
          <t>Miguel Cortez</t>
        </is>
      </c>
      <c r="C9" s="23" t="n">
        <v>1</v>
      </c>
      <c r="D9" s="23" t="n"/>
      <c r="E9" s="23" t="n"/>
      <c r="F9" s="23" t="n">
        <v>4</v>
      </c>
      <c r="G9" s="23" t="n">
        <v>5</v>
      </c>
      <c r="H9" s="23" t="n">
        <v>2</v>
      </c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23 may</t>
        </is>
      </c>
      <c r="B10" s="22" t="inlineStr">
        <is>
          <t>Miguel Cortez</t>
        </is>
      </c>
      <c r="C10" s="23" t="n">
        <v>4</v>
      </c>
      <c r="D10" s="23" t="n"/>
      <c r="E10" s="23" t="n"/>
      <c r="F10" s="23" t="n">
        <v>7</v>
      </c>
      <c r="G10" s="23" t="n">
        <v>7</v>
      </c>
      <c r="H10" s="23" t="n">
        <v>4</v>
      </c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24 may (dom)</t>
        </is>
      </c>
      <c r="B11" s="22" t="inlineStr">
        <is>
          <t>Miguel Cortez</t>
        </is>
      </c>
      <c r="C11" s="23" t="n">
        <v>5</v>
      </c>
      <c r="D11" s="23" t="n"/>
      <c r="E11" s="23" t="n">
        <v>1</v>
      </c>
      <c r="F11" s="23" t="n">
        <v>9</v>
      </c>
      <c r="G11" s="23" t="n">
        <v>8</v>
      </c>
      <c r="H11" s="23" t="n">
        <v>5</v>
      </c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25 may</t>
        </is>
      </c>
      <c r="B12" s="22" t="inlineStr">
        <is>
          <t>Miguel Cortez</t>
        </is>
      </c>
      <c r="C12" s="23" t="n">
        <v>1</v>
      </c>
      <c r="D12" s="23" t="n">
        <v>1</v>
      </c>
      <c r="E12" s="23" t="n"/>
      <c r="F12" s="23" t="n">
        <v>5</v>
      </c>
      <c r="G12" s="23" t="n">
        <v>5</v>
      </c>
      <c r="H12" s="23" t="n">
        <v>2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inlineStr">
        <is>
          <t>26 may</t>
        </is>
      </c>
      <c r="B13" s="22" t="inlineStr">
        <is>
          <t>Miguel Cortez</t>
        </is>
      </c>
      <c r="C13" s="23" t="n">
        <v>1</v>
      </c>
      <c r="D13" s="23" t="n"/>
      <c r="E13" s="23" t="n">
        <v>1</v>
      </c>
      <c r="F13" s="23" t="n">
        <v>2</v>
      </c>
      <c r="G13" s="23" t="n">
        <v>5</v>
      </c>
      <c r="H13" s="23" t="n">
        <v>1</v>
      </c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inlineStr">
        <is>
          <t>01 jun</t>
        </is>
      </c>
      <c r="B14" s="22" t="inlineStr">
        <is>
          <t>Jesús Salmerón</t>
        </is>
      </c>
      <c r="C14" s="23" t="n">
        <v>6</v>
      </c>
      <c r="D14" s="23" t="n"/>
      <c r="E14" s="23" t="n"/>
      <c r="F14" s="23" t="n"/>
      <c r="G14" s="23" t="n"/>
      <c r="H14" s="23" t="n">
        <v>1</v>
      </c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inlineStr">
        <is>
          <t>02 jun</t>
        </is>
      </c>
      <c r="B15" s="22" t="inlineStr">
        <is>
          <t>Jesús Salmerón</t>
        </is>
      </c>
      <c r="C15" s="23" t="n">
        <v>5</v>
      </c>
      <c r="D15" s="23" t="n"/>
      <c r="E15" s="23" t="n"/>
      <c r="F15" s="23" t="n"/>
      <c r="G15" s="23" t="n"/>
      <c r="H15" s="23" t="n">
        <v>2</v>
      </c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inlineStr">
        <is>
          <t>03 jun</t>
        </is>
      </c>
      <c r="B16" s="22" t="inlineStr">
        <is>
          <t>Jesús Salmerón</t>
        </is>
      </c>
      <c r="C16" s="23" t="n">
        <v>3</v>
      </c>
      <c r="D16" s="23" t="n"/>
      <c r="E16" s="23" t="n"/>
      <c r="F16" s="23" t="n"/>
      <c r="G16" s="23" t="n"/>
      <c r="H16" s="23" t="n">
        <v>1</v>
      </c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inlineStr">
        <is>
          <t>04 jun</t>
        </is>
      </c>
      <c r="B17" s="22" t="inlineStr">
        <is>
          <t>Jesús Salmerón</t>
        </is>
      </c>
      <c r="C17" s="23" t="n">
        <v>4</v>
      </c>
      <c r="D17" s="23" t="n"/>
      <c r="E17" s="23" t="n"/>
      <c r="F17" s="23" t="n"/>
      <c r="G17" s="23" t="n"/>
      <c r="H17" s="23" t="n">
        <v>1</v>
      </c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inlineStr">
        <is>
          <t>05 jun</t>
        </is>
      </c>
      <c r="B18" s="22" t="inlineStr">
        <is>
          <t>Jesús Salmerón</t>
        </is>
      </c>
      <c r="C18" s="23" t="n">
        <v>5</v>
      </c>
      <c r="D18" s="23" t="n"/>
      <c r="E18" s="23" t="n"/>
      <c r="F18" s="23" t="n"/>
      <c r="G18" s="23" t="n"/>
      <c r="H18" s="23" t="n">
        <v>2</v>
      </c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inlineStr">
        <is>
          <t>06 jun</t>
        </is>
      </c>
      <c r="B19" s="22" t="inlineStr">
        <is>
          <t>Jesús Salmerón</t>
        </is>
      </c>
      <c r="C19" s="23" t="n">
        <v>4</v>
      </c>
      <c r="D19" s="23" t="n"/>
      <c r="E19" s="23" t="n"/>
      <c r="F19" s="23" t="n"/>
      <c r="G19" s="23" t="n"/>
      <c r="H19" s="23" t="n">
        <v>1</v>
      </c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inlineStr">
        <is>
          <t>08 jun</t>
        </is>
      </c>
      <c r="B20" s="22" t="inlineStr">
        <is>
          <t>Jesús Salmerón</t>
        </is>
      </c>
      <c r="C20" s="23" t="n">
        <v>10</v>
      </c>
      <c r="D20" s="23" t="n"/>
      <c r="E20" s="23" t="n"/>
      <c r="F20" s="23" t="n"/>
      <c r="G20" s="23" t="n">
        <v>4</v>
      </c>
      <c r="H20" s="23" t="n">
        <v>1</v>
      </c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inlineStr">
        <is>
          <t>09 jun</t>
        </is>
      </c>
      <c r="B21" s="22" t="inlineStr">
        <is>
          <t>Jesús Salmerón</t>
        </is>
      </c>
      <c r="C21" s="23" t="n">
        <v>10</v>
      </c>
      <c r="D21" s="23" t="n">
        <v>1</v>
      </c>
      <c r="E21" s="23" t="n"/>
      <c r="F21" s="23" t="n"/>
      <c r="G21" s="23" t="n">
        <v>4</v>
      </c>
      <c r="H21" s="23" t="n">
        <v>1</v>
      </c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inlineStr">
        <is>
          <t>10 jun</t>
        </is>
      </c>
      <c r="B22" s="22" t="inlineStr">
        <is>
          <t>Jesús Salmerón</t>
        </is>
      </c>
      <c r="C22" s="23" t="n">
        <v>8</v>
      </c>
      <c r="D22" s="23" t="n"/>
      <c r="E22" s="23" t="n">
        <v>1</v>
      </c>
      <c r="F22" s="23" t="n"/>
      <c r="G22" s="23" t="n">
        <v>4</v>
      </c>
      <c r="H22" s="23" t="n">
        <v>1</v>
      </c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inlineStr">
        <is>
          <t>12 jun</t>
        </is>
      </c>
      <c r="B23" s="22" t="inlineStr">
        <is>
          <t>Jesús Salmerón</t>
        </is>
      </c>
      <c r="C23" s="23" t="n">
        <v>6</v>
      </c>
      <c r="D23" s="23" t="n">
        <v>1</v>
      </c>
      <c r="E23" s="23" t="n"/>
      <c r="F23" s="23" t="n"/>
      <c r="G23" s="23" t="n">
        <v>4</v>
      </c>
      <c r="H23" s="23" t="n">
        <v>1</v>
      </c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inlineStr">
        <is>
          <t>16 jun</t>
        </is>
      </c>
      <c r="B24" s="22" t="inlineStr">
        <is>
          <t>Jesús Salmerón</t>
        </is>
      </c>
      <c r="C24" s="23" t="n">
        <v>3</v>
      </c>
      <c r="D24" s="23" t="n">
        <v>1</v>
      </c>
      <c r="E24" s="23" t="n"/>
      <c r="F24" s="23" t="n"/>
      <c r="G24" s="23" t="n">
        <v>3</v>
      </c>
      <c r="H24" s="23" t="n">
        <v>1</v>
      </c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inlineStr">
        <is>
          <t>17 jun</t>
        </is>
      </c>
      <c r="B25" s="22" t="inlineStr">
        <is>
          <t>Jesús Salmerón</t>
        </is>
      </c>
      <c r="C25" s="23" t="n">
        <v>3</v>
      </c>
      <c r="D25" s="23" t="n">
        <v>1</v>
      </c>
      <c r="E25" s="23" t="n"/>
      <c r="F25" s="23" t="n"/>
      <c r="G25" s="23" t="n">
        <v>4</v>
      </c>
      <c r="H25" s="23" t="n">
        <v>2</v>
      </c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inlineStr">
        <is>
          <t>18 jun</t>
        </is>
      </c>
      <c r="B26" s="22" t="inlineStr">
        <is>
          <t>Jesús Salmerón</t>
        </is>
      </c>
      <c r="C26" s="23" t="n">
        <v>3</v>
      </c>
      <c r="D26" s="23" t="n">
        <v>1</v>
      </c>
      <c r="E26" s="23" t="n">
        <v>1</v>
      </c>
      <c r="F26" s="23" t="n"/>
      <c r="G26" s="23" t="n">
        <v>4</v>
      </c>
      <c r="H26" s="23" t="n">
        <v>1</v>
      </c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inlineStr">
        <is>
          <t>23 jun</t>
        </is>
      </c>
      <c r="B27" s="22" t="inlineStr">
        <is>
          <t>Jesús Salmerón</t>
        </is>
      </c>
      <c r="C27" s="23" t="n">
        <v>4</v>
      </c>
      <c r="D27" s="23" t="n"/>
      <c r="E27" s="23" t="n"/>
      <c r="F27" s="23" t="n"/>
      <c r="G27" s="23" t="n">
        <v>4</v>
      </c>
      <c r="H27" s="23" t="n">
        <v>1</v>
      </c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inlineStr">
        <is>
          <t>24 jun</t>
        </is>
      </c>
      <c r="B28" s="22" t="inlineStr">
        <is>
          <t>Jesús Salmerón</t>
        </is>
      </c>
      <c r="C28" s="23" t="n">
        <v>4</v>
      </c>
      <c r="D28" s="23" t="n">
        <v>1</v>
      </c>
      <c r="E28" s="23" t="n"/>
      <c r="F28" s="23" t="n"/>
      <c r="G28" s="23" t="n">
        <v>4</v>
      </c>
      <c r="H28" s="23" t="n">
        <v>1</v>
      </c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inlineStr">
        <is>
          <t>26 jun</t>
        </is>
      </c>
      <c r="B29" s="22" t="inlineStr">
        <is>
          <t>Jesús Salmerón</t>
        </is>
      </c>
      <c r="C29" s="23" t="n">
        <v>3</v>
      </c>
      <c r="D29" s="23" t="n">
        <v>1</v>
      </c>
      <c r="E29" s="23" t="n"/>
      <c r="F29" s="23" t="n"/>
      <c r="G29" s="23" t="n">
        <v>3</v>
      </c>
      <c r="H29" s="23" t="n">
        <v>1</v>
      </c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inlineStr">
        <is>
          <t>★ Corte final</t>
        </is>
      </c>
      <c r="B30" s="22" t="inlineStr">
        <is>
          <t>Jesús Salmerón</t>
        </is>
      </c>
      <c r="C30" s="23" t="n">
        <v>1</v>
      </c>
      <c r="D30" s="23" t="n"/>
      <c r="E30" s="23" t="n"/>
      <c r="F30" s="23" t="n"/>
      <c r="G30" s="23" t="n">
        <v>1</v>
      </c>
      <c r="H30" s="23" t="n"/>
      <c r="I30" s="26">
        <f>I29-C30</f>
        <v/>
      </c>
      <c r="J30" s="26">
        <f>J29-D30</f>
        <v/>
      </c>
      <c r="K30" s="26">
        <f>K29-E30</f>
        <v/>
      </c>
      <c r="L30" s="26">
        <f>L29-F30</f>
        <v/>
      </c>
      <c r="M30" s="26">
        <f>M29-G30</f>
        <v/>
      </c>
      <c r="N30" s="26">
        <f>N29-H30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3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10 MZA 7 (ACTIVO)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98</v>
      </c>
      <c r="J6" s="24" t="n">
        <v>7</v>
      </c>
      <c r="K6" s="24" t="n">
        <v>17</v>
      </c>
      <c r="L6" s="24" t="n">
        <v>37</v>
      </c>
      <c r="M6" s="24" t="n">
        <v>79</v>
      </c>
      <c r="N6" s="24" t="n">
        <v>39</v>
      </c>
    </row>
    <row r="7">
      <c r="A7" s="21" t="inlineStr">
        <is>
          <t>15 jun</t>
        </is>
      </c>
      <c r="B7" s="22" t="inlineStr">
        <is>
          <t>Jesús Salmerón</t>
        </is>
      </c>
      <c r="C7" s="23" t="n">
        <v>10</v>
      </c>
      <c r="D7" s="23" t="n"/>
      <c r="E7" s="23" t="n"/>
      <c r="F7" s="23" t="n">
        <v>8</v>
      </c>
      <c r="G7" s="23" t="n">
        <v>8</v>
      </c>
      <c r="H7" s="23" t="n">
        <v>5</v>
      </c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inlineStr">
        <is>
          <t>16 jun</t>
        </is>
      </c>
      <c r="B8" s="22" t="inlineStr">
        <is>
          <t>Jesús Salmerón</t>
        </is>
      </c>
      <c r="C8" s="23" t="n">
        <v>10</v>
      </c>
      <c r="D8" s="23" t="n"/>
      <c r="E8" s="23" t="n"/>
      <c r="F8" s="23" t="n">
        <v>8</v>
      </c>
      <c r="G8" s="23" t="n">
        <v>8</v>
      </c>
      <c r="H8" s="23" t="n">
        <v>5</v>
      </c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inlineStr">
        <is>
          <t>17 jun</t>
        </is>
      </c>
      <c r="B9" s="22" t="inlineStr">
        <is>
          <t>Jesús Salmerón</t>
        </is>
      </c>
      <c r="C9" s="23" t="n">
        <v>10</v>
      </c>
      <c r="D9" s="23" t="n"/>
      <c r="E9" s="23" t="n"/>
      <c r="F9" s="23" t="n">
        <v>7</v>
      </c>
      <c r="G9" s="23" t="n">
        <v>7</v>
      </c>
      <c r="H9" s="23" t="n">
        <v>4</v>
      </c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inlineStr">
        <is>
          <t>18 jun</t>
        </is>
      </c>
      <c r="B10" s="22" t="inlineStr">
        <is>
          <t>Jesús Salmerón</t>
        </is>
      </c>
      <c r="C10" s="23" t="n">
        <v>8</v>
      </c>
      <c r="D10" s="23" t="n"/>
      <c r="E10" s="23" t="n"/>
      <c r="F10" s="23" t="n">
        <v>6</v>
      </c>
      <c r="G10" s="23" t="n">
        <v>6</v>
      </c>
      <c r="H10" s="23" t="n">
        <v>4</v>
      </c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inlineStr">
        <is>
          <t>23 jun</t>
        </is>
      </c>
      <c r="B11" s="22" t="inlineStr">
        <is>
          <t>Jesús Salmerón</t>
        </is>
      </c>
      <c r="C11" s="23" t="n">
        <v>6</v>
      </c>
      <c r="D11" s="23" t="n"/>
      <c r="E11" s="23" t="n">
        <v>4</v>
      </c>
      <c r="F11" s="23" t="n">
        <v>4</v>
      </c>
      <c r="G11" s="23" t="n">
        <v>5</v>
      </c>
      <c r="H11" s="23" t="n">
        <v>4</v>
      </c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inlineStr">
        <is>
          <t>24 jun</t>
        </is>
      </c>
      <c r="B12" s="22" t="inlineStr">
        <is>
          <t>Jesús Salmerón</t>
        </is>
      </c>
      <c r="C12" s="23" t="n">
        <v>6</v>
      </c>
      <c r="D12" s="23" t="n"/>
      <c r="E12" s="23" t="n">
        <v>4</v>
      </c>
      <c r="F12" s="23" t="n">
        <v>4</v>
      </c>
      <c r="G12" s="23" t="n">
        <v>4</v>
      </c>
      <c r="H12" s="23" t="n">
        <v>3</v>
      </c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inlineStr">
        <is>
          <t>28 jun</t>
        </is>
      </c>
      <c r="B13" s="22" t="inlineStr">
        <is>
          <t>Jesús Salmerón</t>
        </is>
      </c>
      <c r="C13" s="23" t="n">
        <v>3</v>
      </c>
      <c r="D13" s="23" t="n"/>
      <c r="E13" s="23" t="n"/>
      <c r="F13" s="23" t="n"/>
      <c r="G13" s="23" t="n">
        <v>3</v>
      </c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>
        <f>M29-G30</f>
        <v/>
      </c>
      <c r="N30" s="25">
        <f>N29-H30</f>
        <v/>
      </c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>
        <f>M30-G31</f>
        <v/>
      </c>
      <c r="N31" s="25">
        <f>N30-H31</f>
        <v/>
      </c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>
        <f>M31-G32</f>
        <v/>
      </c>
      <c r="N32" s="25">
        <f>N31-H32</f>
        <v/>
      </c>
    </row>
    <row r="33">
      <c r="A33" s="21" t="n"/>
      <c r="B33" s="22" t="n"/>
      <c r="C33" s="23" t="n"/>
      <c r="D33" s="23" t="n"/>
      <c r="E33" s="23" t="n"/>
      <c r="F33" s="23" t="n"/>
      <c r="G33" s="23" t="n"/>
      <c r="H33" s="23" t="n"/>
      <c r="I33" s="25">
        <f>I32-C33</f>
        <v/>
      </c>
      <c r="J33" s="25">
        <f>J32-D33</f>
        <v/>
      </c>
      <c r="K33" s="25">
        <f>K32-E33</f>
        <v/>
      </c>
      <c r="L33" s="25">
        <f>L32-F33</f>
        <v/>
      </c>
      <c r="M33" s="25">
        <f>M32-G33</f>
        <v/>
      </c>
      <c r="N33" s="25">
        <f>N32-H33</f>
        <v/>
      </c>
    </row>
    <row r="34">
      <c r="A34" s="21" t="inlineStr">
        <is>
          <t>★ Corte final (al cerrar lote)</t>
        </is>
      </c>
      <c r="B34" s="22" t="inlineStr"/>
      <c r="C34" s="23" t="n"/>
      <c r="D34" s="23" t="n"/>
      <c r="E34" s="23" t="n"/>
      <c r="F34" s="23" t="n"/>
      <c r="G34" s="23" t="n"/>
      <c r="H34" s="23" t="n"/>
      <c r="I34" s="26">
        <f>I33-C34</f>
        <v/>
      </c>
      <c r="J34" s="26">
        <f>J33-D34</f>
        <v/>
      </c>
      <c r="K34" s="26">
        <f>K33-E34</f>
        <v/>
      </c>
      <c r="L34" s="26">
        <f>L33-F34</f>
        <v/>
      </c>
      <c r="M34" s="26">
        <f>M33-G34</f>
        <v/>
      </c>
      <c r="N34" s="26">
        <f>N33-H34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33 MZA 14 (CABERNET · POR LLEGAR)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Unicrest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Unicrest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117</v>
      </c>
      <c r="J6" s="24" t="n">
        <v>8</v>
      </c>
      <c r="K6" s="24" t="n">
        <v>28</v>
      </c>
      <c r="L6" s="24" t="n">
        <v>41</v>
      </c>
      <c r="M6" s="24" t="n">
        <v>93</v>
      </c>
      <c r="N6" s="24" t="n">
        <v>20</v>
      </c>
    </row>
    <row r="7">
      <c r="A7" s="21" t="n"/>
      <c r="B7" s="22" t="n"/>
      <c r="C7" s="23" t="n"/>
      <c r="D7" s="23" t="n"/>
      <c r="E7" s="23" t="n"/>
      <c r="F7" s="23" t="n"/>
      <c r="G7" s="23" t="n"/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>
        <f>M6-G7</f>
        <v/>
      </c>
      <c r="N7" s="25">
        <f>N6-H7</f>
        <v/>
      </c>
    </row>
    <row r="8">
      <c r="A8" s="21" t="n"/>
      <c r="B8" s="22" t="n"/>
      <c r="C8" s="23" t="n"/>
      <c r="D8" s="23" t="n"/>
      <c r="E8" s="23" t="n"/>
      <c r="F8" s="23" t="n"/>
      <c r="G8" s="23" t="n"/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>
        <f>M7-G8</f>
        <v/>
      </c>
      <c r="N8" s="25">
        <f>N7-H8</f>
        <v/>
      </c>
    </row>
    <row r="9">
      <c r="A9" s="21" t="n"/>
      <c r="B9" s="22" t="n"/>
      <c r="C9" s="23" t="n"/>
      <c r="D9" s="23" t="n"/>
      <c r="E9" s="23" t="n"/>
      <c r="F9" s="23" t="n"/>
      <c r="G9" s="23" t="n"/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>
        <f>M8-G9</f>
        <v/>
      </c>
      <c r="N9" s="25">
        <f>N8-H9</f>
        <v/>
      </c>
    </row>
    <row r="10">
      <c r="A10" s="21" t="n"/>
      <c r="B10" s="22" t="n"/>
      <c r="C10" s="23" t="n"/>
      <c r="D10" s="23" t="n"/>
      <c r="E10" s="23" t="n"/>
      <c r="F10" s="23" t="n"/>
      <c r="G10" s="23" t="n"/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>
        <f>M9-G10</f>
        <v/>
      </c>
      <c r="N10" s="25">
        <f>N9-H10</f>
        <v/>
      </c>
    </row>
    <row r="11">
      <c r="A11" s="21" t="n"/>
      <c r="B11" s="22" t="n"/>
      <c r="C11" s="23" t="n"/>
      <c r="D11" s="23" t="n"/>
      <c r="E11" s="23" t="n"/>
      <c r="F11" s="23" t="n"/>
      <c r="G11" s="23" t="n"/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>
        <f>M10-G11</f>
        <v/>
      </c>
      <c r="N11" s="25">
        <f>N10-H11</f>
        <v/>
      </c>
    </row>
    <row r="12">
      <c r="A12" s="21" t="n"/>
      <c r="B12" s="22" t="n"/>
      <c r="C12" s="23" t="n"/>
      <c r="D12" s="23" t="n"/>
      <c r="E12" s="23" t="n"/>
      <c r="F12" s="23" t="n"/>
      <c r="G12" s="23" t="n"/>
      <c r="H12" s="23" t="n"/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>
        <f>M11-G12</f>
        <v/>
      </c>
      <c r="N12" s="25">
        <f>N11-H12</f>
        <v/>
      </c>
    </row>
    <row r="13">
      <c r="A13" s="21" t="n"/>
      <c r="B13" s="22" t="n"/>
      <c r="C13" s="23" t="n"/>
      <c r="D13" s="23" t="n"/>
      <c r="E13" s="23" t="n"/>
      <c r="F13" s="23" t="n"/>
      <c r="G13" s="23" t="n"/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>
        <f>M12-G13</f>
        <v/>
      </c>
      <c r="N13" s="25">
        <f>N12-H13</f>
        <v/>
      </c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>
        <f>M13-G14</f>
        <v/>
      </c>
      <c r="N14" s="25">
        <f>N13-H14</f>
        <v/>
      </c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>
        <f>M14-G15</f>
        <v/>
      </c>
      <c r="N15" s="25">
        <f>N14-H15</f>
        <v/>
      </c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>
        <f>M15-G16</f>
        <v/>
      </c>
      <c r="N16" s="25">
        <f>N15-H16</f>
        <v/>
      </c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>
        <f>M16-G17</f>
        <v/>
      </c>
      <c r="N17" s="25">
        <f>N16-H17</f>
        <v/>
      </c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>
        <f>M17-G18</f>
        <v/>
      </c>
      <c r="N18" s="25">
        <f>N17-H18</f>
        <v/>
      </c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>
        <f>M18-G19</f>
        <v/>
      </c>
      <c r="N19" s="25">
        <f>N18-H19</f>
        <v/>
      </c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>
        <f>M19-G20</f>
        <v/>
      </c>
      <c r="N20" s="25">
        <f>N19-H20</f>
        <v/>
      </c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>
        <f>M20-G21</f>
        <v/>
      </c>
      <c r="N21" s="25">
        <f>N20-H21</f>
        <v/>
      </c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>
        <f>M21-G22</f>
        <v/>
      </c>
      <c r="N22" s="25">
        <f>N21-H22</f>
        <v/>
      </c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>
        <f>M22-G23</f>
        <v/>
      </c>
      <c r="N23" s="25">
        <f>N22-H23</f>
        <v/>
      </c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>
        <f>M23-G24</f>
        <v/>
      </c>
      <c r="N24" s="25">
        <f>N23-H24</f>
        <v/>
      </c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>
        <f>M24-G25</f>
        <v/>
      </c>
      <c r="N25" s="25">
        <f>N24-H25</f>
        <v/>
      </c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>
        <f>M25-G26</f>
        <v/>
      </c>
      <c r="N26" s="25">
        <f>N25-H26</f>
        <v/>
      </c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>
        <f>M26-G27</f>
        <v/>
      </c>
      <c r="N27" s="25">
        <f>N26-H27</f>
        <v/>
      </c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>
        <f>M27-G28</f>
        <v/>
      </c>
      <c r="N28" s="25">
        <f>N27-H28</f>
        <v/>
      </c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>
        <f>M28-G29</f>
        <v/>
      </c>
      <c r="N29" s="25">
        <f>N28-H29</f>
        <v/>
      </c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>
        <f>M29-G30</f>
        <v/>
      </c>
      <c r="N30" s="25">
        <f>N29-H30</f>
        <v/>
      </c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>
        <f>M30-G31</f>
        <v/>
      </c>
      <c r="N31" s="25">
        <f>N30-H31</f>
        <v/>
      </c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>
        <f>M31-G32</f>
        <v/>
      </c>
      <c r="N32" s="25">
        <f>N31-H32</f>
        <v/>
      </c>
    </row>
    <row r="33">
      <c r="A33" s="21" t="n"/>
      <c r="B33" s="22" t="n"/>
      <c r="C33" s="23" t="n"/>
      <c r="D33" s="23" t="n"/>
      <c r="E33" s="23" t="n"/>
      <c r="F33" s="23" t="n"/>
      <c r="G33" s="23" t="n"/>
      <c r="H33" s="23" t="n"/>
      <c r="I33" s="25">
        <f>I32-C33</f>
        <v/>
      </c>
      <c r="J33" s="25">
        <f>J32-D33</f>
        <v/>
      </c>
      <c r="K33" s="25">
        <f>K32-E33</f>
        <v/>
      </c>
      <c r="L33" s="25">
        <f>L32-F33</f>
        <v/>
      </c>
      <c r="M33" s="25">
        <f>M32-G33</f>
        <v/>
      </c>
      <c r="N33" s="25">
        <f>N32-H33</f>
        <v/>
      </c>
    </row>
    <row r="34">
      <c r="A34" s="21" t="n"/>
      <c r="B34" s="22" t="n"/>
      <c r="C34" s="23" t="n"/>
      <c r="D34" s="23" t="n"/>
      <c r="E34" s="23" t="n"/>
      <c r="F34" s="23" t="n"/>
      <c r="G34" s="23" t="n"/>
      <c r="H34" s="23" t="n"/>
      <c r="I34" s="25">
        <f>I33-C34</f>
        <v/>
      </c>
      <c r="J34" s="25">
        <f>J33-D34</f>
        <v/>
      </c>
      <c r="K34" s="25">
        <f>K33-E34</f>
        <v/>
      </c>
      <c r="L34" s="25">
        <f>L33-F34</f>
        <v/>
      </c>
      <c r="M34" s="25">
        <f>M33-G34</f>
        <v/>
      </c>
      <c r="N34" s="25">
        <f>N33-H34</f>
        <v/>
      </c>
    </row>
    <row r="35">
      <c r="A35" s="21" t="n"/>
      <c r="B35" s="22" t="n"/>
      <c r="C35" s="23" t="n"/>
      <c r="D35" s="23" t="n"/>
      <c r="E35" s="23" t="n"/>
      <c r="F35" s="23" t="n"/>
      <c r="G35" s="23" t="n"/>
      <c r="H35" s="23" t="n"/>
      <c r="I35" s="25">
        <f>I34-C35</f>
        <v/>
      </c>
      <c r="J35" s="25">
        <f>J34-D35</f>
        <v/>
      </c>
      <c r="K35" s="25">
        <f>K34-E35</f>
        <v/>
      </c>
      <c r="L35" s="25">
        <f>L34-F35</f>
        <v/>
      </c>
      <c r="M35" s="25">
        <f>M34-G35</f>
        <v/>
      </c>
      <c r="N35" s="25">
        <f>N34-H35</f>
        <v/>
      </c>
    </row>
    <row r="36">
      <c r="A36" s="21" t="n"/>
      <c r="B36" s="22" t="n"/>
      <c r="C36" s="23" t="n"/>
      <c r="D36" s="23" t="n"/>
      <c r="E36" s="23" t="n"/>
      <c r="F36" s="23" t="n"/>
      <c r="G36" s="23" t="n"/>
      <c r="H36" s="23" t="n"/>
      <c r="I36" s="25">
        <f>I35-C36</f>
        <v/>
      </c>
      <c r="J36" s="25">
        <f>J35-D36</f>
        <v/>
      </c>
      <c r="K36" s="25">
        <f>K35-E36</f>
        <v/>
      </c>
      <c r="L36" s="25">
        <f>L35-F36</f>
        <v/>
      </c>
      <c r="M36" s="25">
        <f>M35-G36</f>
        <v/>
      </c>
      <c r="N36" s="25">
        <f>N35-H36</f>
        <v/>
      </c>
    </row>
    <row r="37">
      <c r="A37" s="21" t="inlineStr">
        <is>
          <t>★ Corte final (al cerrar lote)</t>
        </is>
      </c>
      <c r="B37" s="22" t="inlineStr"/>
      <c r="C37" s="23" t="n"/>
      <c r="D37" s="23" t="n"/>
      <c r="E37" s="23" t="n"/>
      <c r="F37" s="23" t="n"/>
      <c r="G37" s="23" t="n"/>
      <c r="H37" s="23" t="n"/>
      <c r="I37" s="26">
        <f>I36-C37</f>
        <v/>
      </c>
      <c r="J37" s="26">
        <f>J36-D37</f>
        <v/>
      </c>
      <c r="K37" s="26">
        <f>K36-E37</f>
        <v/>
      </c>
      <c r="L37" s="26">
        <f>L36-F37</f>
        <v/>
      </c>
      <c r="M37" s="26">
        <f>M36-G37</f>
        <v/>
      </c>
      <c r="N37" s="26">
        <f>N36-H37</f>
        <v/>
      </c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3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A2" s="15" t="inlineStr">
        <is>
          <t>HISTORIAL DE INVENTARIO — LOTE 19 MZA 7 (CHARDONNAY · POR LLEGAR)</t>
        </is>
      </c>
    </row>
    <row r="3">
      <c r="A3" s="16" t="inlineStr">
        <is>
          <t>Para registrar un día nuevo: en el 1er renglón en blanco escribe la fecha y cuánto SALIÓ de cada material; el SALDO (lo que queda) y el Corte final se calculan SOLOS.</t>
        </is>
      </c>
    </row>
    <row r="4">
      <c r="A4" s="17" t="inlineStr">
        <is>
          <t>➕ HOY:</t>
        </is>
      </c>
      <c r="B4" s="18">
        <f>TODAY()</f>
        <v/>
      </c>
      <c r="C4" s="16" t="inlineStr">
        <is>
          <t>← copia/escribe esta fecha en la columna 'Fecha' del primer renglón vacío; la tabla se extiende sola y 'Salió' se calcula solo.</t>
        </is>
      </c>
    </row>
    <row r="5">
      <c r="A5" s="19" t="inlineStr">
        <is>
          <t>Fecha</t>
        </is>
      </c>
      <c r="B5" s="19" t="inlineStr">
        <is>
          <t>Pisero</t>
        </is>
      </c>
      <c r="C5" s="20" t="inlineStr">
        <is>
          <t>Salió Moret</t>
        </is>
      </c>
      <c r="D5" s="20" t="inlineStr">
        <is>
          <t>Salió Urbania</t>
        </is>
      </c>
      <c r="E5" s="20" t="inlineStr">
        <is>
          <t>Salió Malla</t>
        </is>
      </c>
      <c r="F5" s="20" t="inlineStr">
        <is>
          <t>Salió Duela</t>
        </is>
      </c>
      <c r="G5" s="20" t="inlineStr">
        <is>
          <t>Salió Pegavitro</t>
        </is>
      </c>
      <c r="H5" s="20" t="inlineStr">
        <is>
          <t>Salió Porcelánico</t>
        </is>
      </c>
      <c r="I5" s="19" t="inlineStr">
        <is>
          <t>Piso Moret</t>
        </is>
      </c>
      <c r="J5" s="19" t="inlineStr">
        <is>
          <t>Urbania White</t>
        </is>
      </c>
      <c r="K5" s="19" t="inlineStr">
        <is>
          <t>Malla Lyndhurst</t>
        </is>
      </c>
      <c r="L5" s="19" t="inlineStr">
        <is>
          <t>Royal Walnut</t>
        </is>
      </c>
      <c r="M5" s="19" t="inlineStr">
        <is>
          <t>Pegavitro</t>
        </is>
      </c>
      <c r="N5" s="19" t="inlineStr">
        <is>
          <t>Fija Porcelánico</t>
        </is>
      </c>
    </row>
    <row r="6">
      <c r="A6" s="21" t="inlineStr">
        <is>
          <t>▶ Inicial (al llegar)</t>
        </is>
      </c>
      <c r="B6" s="22" t="inlineStr"/>
      <c r="C6" s="23" t="n"/>
      <c r="D6" s="23" t="n"/>
      <c r="E6" s="23" t="n"/>
      <c r="F6" s="23" t="n"/>
      <c r="G6" s="23" t="n"/>
      <c r="H6" s="23" t="n"/>
      <c r="I6" s="24" t="n">
        <v>127</v>
      </c>
      <c r="J6" s="24" t="n">
        <v>8</v>
      </c>
      <c r="K6" s="24" t="n">
        <v>28</v>
      </c>
      <c r="L6" s="24" t="n">
        <v>32</v>
      </c>
      <c r="M6" s="24" t="n"/>
      <c r="N6" s="24" t="n"/>
    </row>
    <row r="7">
      <c r="A7" s="21" t="n"/>
      <c r="B7" s="22" t="n"/>
      <c r="C7" s="23" t="n"/>
      <c r="D7" s="23" t="n"/>
      <c r="E7" s="23" t="n"/>
      <c r="F7" s="23" t="n"/>
      <c r="G7" s="23" t="n"/>
      <c r="H7" s="23" t="n"/>
      <c r="I7" s="25">
        <f>I6-C7</f>
        <v/>
      </c>
      <c r="J7" s="25">
        <f>J6-D7</f>
        <v/>
      </c>
      <c r="K7" s="25">
        <f>K6-E7</f>
        <v/>
      </c>
      <c r="L7" s="25">
        <f>L6-F7</f>
        <v/>
      </c>
      <c r="M7" s="25" t="n"/>
      <c r="N7" s="25" t="n"/>
    </row>
    <row r="8">
      <c r="A8" s="21" t="n"/>
      <c r="B8" s="22" t="n"/>
      <c r="C8" s="23" t="n"/>
      <c r="D8" s="23" t="n"/>
      <c r="E8" s="23" t="n"/>
      <c r="F8" s="23" t="n"/>
      <c r="G8" s="23" t="n"/>
      <c r="H8" s="23" t="n"/>
      <c r="I8" s="25">
        <f>I7-C8</f>
        <v/>
      </c>
      <c r="J8" s="25">
        <f>J7-D8</f>
        <v/>
      </c>
      <c r="K8" s="25">
        <f>K7-E8</f>
        <v/>
      </c>
      <c r="L8" s="25">
        <f>L7-F8</f>
        <v/>
      </c>
      <c r="M8" s="25" t="n"/>
      <c r="N8" s="25" t="n"/>
    </row>
    <row r="9">
      <c r="A9" s="21" t="n"/>
      <c r="B9" s="22" t="n"/>
      <c r="C9" s="23" t="n"/>
      <c r="D9" s="23" t="n"/>
      <c r="E9" s="23" t="n"/>
      <c r="F9" s="23" t="n"/>
      <c r="G9" s="23" t="n"/>
      <c r="H9" s="23" t="n"/>
      <c r="I9" s="25">
        <f>I8-C9</f>
        <v/>
      </c>
      <c r="J9" s="25">
        <f>J8-D9</f>
        <v/>
      </c>
      <c r="K9" s="25">
        <f>K8-E9</f>
        <v/>
      </c>
      <c r="L9" s="25">
        <f>L8-F9</f>
        <v/>
      </c>
      <c r="M9" s="25" t="n"/>
      <c r="N9" s="25" t="n"/>
    </row>
    <row r="10">
      <c r="A10" s="21" t="n"/>
      <c r="B10" s="22" t="n"/>
      <c r="C10" s="23" t="n"/>
      <c r="D10" s="23" t="n"/>
      <c r="E10" s="23" t="n"/>
      <c r="F10" s="23" t="n"/>
      <c r="G10" s="23" t="n"/>
      <c r="H10" s="23" t="n"/>
      <c r="I10" s="25">
        <f>I9-C10</f>
        <v/>
      </c>
      <c r="J10" s="25">
        <f>J9-D10</f>
        <v/>
      </c>
      <c r="K10" s="25">
        <f>K9-E10</f>
        <v/>
      </c>
      <c r="L10" s="25">
        <f>L9-F10</f>
        <v/>
      </c>
      <c r="M10" s="25" t="n"/>
      <c r="N10" s="25" t="n"/>
    </row>
    <row r="11">
      <c r="A11" s="21" t="n"/>
      <c r="B11" s="22" t="n"/>
      <c r="C11" s="23" t="n"/>
      <c r="D11" s="23" t="n"/>
      <c r="E11" s="23" t="n"/>
      <c r="F11" s="23" t="n"/>
      <c r="G11" s="23" t="n"/>
      <c r="H11" s="23" t="n"/>
      <c r="I11" s="25">
        <f>I10-C11</f>
        <v/>
      </c>
      <c r="J11" s="25">
        <f>J10-D11</f>
        <v/>
      </c>
      <c r="K11" s="25">
        <f>K10-E11</f>
        <v/>
      </c>
      <c r="L11" s="25">
        <f>L10-F11</f>
        <v/>
      </c>
      <c r="M11" s="25" t="n"/>
      <c r="N11" s="25" t="n"/>
    </row>
    <row r="12">
      <c r="A12" s="21" t="n"/>
      <c r="B12" s="22" t="n"/>
      <c r="C12" s="23" t="n"/>
      <c r="D12" s="23" t="n"/>
      <c r="E12" s="23" t="n"/>
      <c r="F12" s="23" t="n"/>
      <c r="G12" s="23" t="n"/>
      <c r="H12" s="23" t="n"/>
      <c r="I12" s="25">
        <f>I11-C12</f>
        <v/>
      </c>
      <c r="J12" s="25">
        <f>J11-D12</f>
        <v/>
      </c>
      <c r="K12" s="25">
        <f>K11-E12</f>
        <v/>
      </c>
      <c r="L12" s="25">
        <f>L11-F12</f>
        <v/>
      </c>
      <c r="M12" s="25" t="n"/>
      <c r="N12" s="25" t="n"/>
    </row>
    <row r="13">
      <c r="A13" s="21" t="n"/>
      <c r="B13" s="22" t="n"/>
      <c r="C13" s="23" t="n"/>
      <c r="D13" s="23" t="n"/>
      <c r="E13" s="23" t="n"/>
      <c r="F13" s="23" t="n"/>
      <c r="G13" s="23" t="n"/>
      <c r="H13" s="23" t="n"/>
      <c r="I13" s="25">
        <f>I12-C13</f>
        <v/>
      </c>
      <c r="J13" s="25">
        <f>J12-D13</f>
        <v/>
      </c>
      <c r="K13" s="25">
        <f>K12-E13</f>
        <v/>
      </c>
      <c r="L13" s="25">
        <f>L12-F13</f>
        <v/>
      </c>
      <c r="M13" s="25" t="n"/>
      <c r="N13" s="25" t="n"/>
    </row>
    <row r="14">
      <c r="A14" s="21" t="n"/>
      <c r="B14" s="22" t="n"/>
      <c r="C14" s="23" t="n"/>
      <c r="D14" s="23" t="n"/>
      <c r="E14" s="23" t="n"/>
      <c r="F14" s="23" t="n"/>
      <c r="G14" s="23" t="n"/>
      <c r="H14" s="23" t="n"/>
      <c r="I14" s="25">
        <f>I13-C14</f>
        <v/>
      </c>
      <c r="J14" s="25">
        <f>J13-D14</f>
        <v/>
      </c>
      <c r="K14" s="25">
        <f>K13-E14</f>
        <v/>
      </c>
      <c r="L14" s="25">
        <f>L13-F14</f>
        <v/>
      </c>
      <c r="M14" s="25" t="n"/>
      <c r="N14" s="25" t="n"/>
    </row>
    <row r="15">
      <c r="A15" s="21" t="n"/>
      <c r="B15" s="22" t="n"/>
      <c r="C15" s="23" t="n"/>
      <c r="D15" s="23" t="n"/>
      <c r="E15" s="23" t="n"/>
      <c r="F15" s="23" t="n"/>
      <c r="G15" s="23" t="n"/>
      <c r="H15" s="23" t="n"/>
      <c r="I15" s="25">
        <f>I14-C15</f>
        <v/>
      </c>
      <c r="J15" s="25">
        <f>J14-D15</f>
        <v/>
      </c>
      <c r="K15" s="25">
        <f>K14-E15</f>
        <v/>
      </c>
      <c r="L15" s="25">
        <f>L14-F15</f>
        <v/>
      </c>
      <c r="M15" s="25" t="n"/>
      <c r="N15" s="25" t="n"/>
    </row>
    <row r="16">
      <c r="A16" s="21" t="n"/>
      <c r="B16" s="22" t="n"/>
      <c r="C16" s="23" t="n"/>
      <c r="D16" s="23" t="n"/>
      <c r="E16" s="23" t="n"/>
      <c r="F16" s="23" t="n"/>
      <c r="G16" s="23" t="n"/>
      <c r="H16" s="23" t="n"/>
      <c r="I16" s="25">
        <f>I15-C16</f>
        <v/>
      </c>
      <c r="J16" s="25">
        <f>J15-D16</f>
        <v/>
      </c>
      <c r="K16" s="25">
        <f>K15-E16</f>
        <v/>
      </c>
      <c r="L16" s="25">
        <f>L15-F16</f>
        <v/>
      </c>
      <c r="M16" s="25" t="n"/>
      <c r="N16" s="25" t="n"/>
    </row>
    <row r="17">
      <c r="A17" s="21" t="n"/>
      <c r="B17" s="22" t="n"/>
      <c r="C17" s="23" t="n"/>
      <c r="D17" s="23" t="n"/>
      <c r="E17" s="23" t="n"/>
      <c r="F17" s="23" t="n"/>
      <c r="G17" s="23" t="n"/>
      <c r="H17" s="23" t="n"/>
      <c r="I17" s="25">
        <f>I16-C17</f>
        <v/>
      </c>
      <c r="J17" s="25">
        <f>J16-D17</f>
        <v/>
      </c>
      <c r="K17" s="25">
        <f>K16-E17</f>
        <v/>
      </c>
      <c r="L17" s="25">
        <f>L16-F17</f>
        <v/>
      </c>
      <c r="M17" s="25" t="n"/>
      <c r="N17" s="25" t="n"/>
    </row>
    <row r="18">
      <c r="A18" s="21" t="n"/>
      <c r="B18" s="22" t="n"/>
      <c r="C18" s="23" t="n"/>
      <c r="D18" s="23" t="n"/>
      <c r="E18" s="23" t="n"/>
      <c r="F18" s="23" t="n"/>
      <c r="G18" s="23" t="n"/>
      <c r="H18" s="23" t="n"/>
      <c r="I18" s="25">
        <f>I17-C18</f>
        <v/>
      </c>
      <c r="J18" s="25">
        <f>J17-D18</f>
        <v/>
      </c>
      <c r="K18" s="25">
        <f>K17-E18</f>
        <v/>
      </c>
      <c r="L18" s="25">
        <f>L17-F18</f>
        <v/>
      </c>
      <c r="M18" s="25" t="n"/>
      <c r="N18" s="25" t="n"/>
    </row>
    <row r="19">
      <c r="A19" s="21" t="n"/>
      <c r="B19" s="22" t="n"/>
      <c r="C19" s="23" t="n"/>
      <c r="D19" s="23" t="n"/>
      <c r="E19" s="23" t="n"/>
      <c r="F19" s="23" t="n"/>
      <c r="G19" s="23" t="n"/>
      <c r="H19" s="23" t="n"/>
      <c r="I19" s="25">
        <f>I18-C19</f>
        <v/>
      </c>
      <c r="J19" s="25">
        <f>J18-D19</f>
        <v/>
      </c>
      <c r="K19" s="25">
        <f>K18-E19</f>
        <v/>
      </c>
      <c r="L19" s="25">
        <f>L18-F19</f>
        <v/>
      </c>
      <c r="M19" s="25" t="n"/>
      <c r="N19" s="25" t="n"/>
    </row>
    <row r="20">
      <c r="A20" s="21" t="n"/>
      <c r="B20" s="22" t="n"/>
      <c r="C20" s="23" t="n"/>
      <c r="D20" s="23" t="n"/>
      <c r="E20" s="23" t="n"/>
      <c r="F20" s="23" t="n"/>
      <c r="G20" s="23" t="n"/>
      <c r="H20" s="23" t="n"/>
      <c r="I20" s="25">
        <f>I19-C20</f>
        <v/>
      </c>
      <c r="J20" s="25">
        <f>J19-D20</f>
        <v/>
      </c>
      <c r="K20" s="25">
        <f>K19-E20</f>
        <v/>
      </c>
      <c r="L20" s="25">
        <f>L19-F20</f>
        <v/>
      </c>
      <c r="M20" s="25" t="n"/>
      <c r="N20" s="25" t="n"/>
    </row>
    <row r="21">
      <c r="A21" s="21" t="n"/>
      <c r="B21" s="22" t="n"/>
      <c r="C21" s="23" t="n"/>
      <c r="D21" s="23" t="n"/>
      <c r="E21" s="23" t="n"/>
      <c r="F21" s="23" t="n"/>
      <c r="G21" s="23" t="n"/>
      <c r="H21" s="23" t="n"/>
      <c r="I21" s="25">
        <f>I20-C21</f>
        <v/>
      </c>
      <c r="J21" s="25">
        <f>J20-D21</f>
        <v/>
      </c>
      <c r="K21" s="25">
        <f>K20-E21</f>
        <v/>
      </c>
      <c r="L21" s="25">
        <f>L20-F21</f>
        <v/>
      </c>
      <c r="M21" s="25" t="n"/>
      <c r="N21" s="25" t="n"/>
    </row>
    <row r="22">
      <c r="A22" s="21" t="n"/>
      <c r="B22" s="22" t="n"/>
      <c r="C22" s="23" t="n"/>
      <c r="D22" s="23" t="n"/>
      <c r="E22" s="23" t="n"/>
      <c r="F22" s="23" t="n"/>
      <c r="G22" s="23" t="n"/>
      <c r="H22" s="23" t="n"/>
      <c r="I22" s="25">
        <f>I21-C22</f>
        <v/>
      </c>
      <c r="J22" s="25">
        <f>J21-D22</f>
        <v/>
      </c>
      <c r="K22" s="25">
        <f>K21-E22</f>
        <v/>
      </c>
      <c r="L22" s="25">
        <f>L21-F22</f>
        <v/>
      </c>
      <c r="M22" s="25" t="n"/>
      <c r="N22" s="25" t="n"/>
    </row>
    <row r="23">
      <c r="A23" s="21" t="n"/>
      <c r="B23" s="22" t="n"/>
      <c r="C23" s="23" t="n"/>
      <c r="D23" s="23" t="n"/>
      <c r="E23" s="23" t="n"/>
      <c r="F23" s="23" t="n"/>
      <c r="G23" s="23" t="n"/>
      <c r="H23" s="23" t="n"/>
      <c r="I23" s="25">
        <f>I22-C23</f>
        <v/>
      </c>
      <c r="J23" s="25">
        <f>J22-D23</f>
        <v/>
      </c>
      <c r="K23" s="25">
        <f>K22-E23</f>
        <v/>
      </c>
      <c r="L23" s="25">
        <f>L22-F23</f>
        <v/>
      </c>
      <c r="M23" s="25" t="n"/>
      <c r="N23" s="25" t="n"/>
    </row>
    <row r="24">
      <c r="A24" s="21" t="n"/>
      <c r="B24" s="22" t="n"/>
      <c r="C24" s="23" t="n"/>
      <c r="D24" s="23" t="n"/>
      <c r="E24" s="23" t="n"/>
      <c r="F24" s="23" t="n"/>
      <c r="G24" s="23" t="n"/>
      <c r="H24" s="23" t="n"/>
      <c r="I24" s="25">
        <f>I23-C24</f>
        <v/>
      </c>
      <c r="J24" s="25">
        <f>J23-D24</f>
        <v/>
      </c>
      <c r="K24" s="25">
        <f>K23-E24</f>
        <v/>
      </c>
      <c r="L24" s="25">
        <f>L23-F24</f>
        <v/>
      </c>
      <c r="M24" s="25" t="n"/>
      <c r="N24" s="25" t="n"/>
    </row>
    <row r="25">
      <c r="A25" s="21" t="n"/>
      <c r="B25" s="22" t="n"/>
      <c r="C25" s="23" t="n"/>
      <c r="D25" s="23" t="n"/>
      <c r="E25" s="23" t="n"/>
      <c r="F25" s="23" t="n"/>
      <c r="G25" s="23" t="n"/>
      <c r="H25" s="23" t="n"/>
      <c r="I25" s="25">
        <f>I24-C25</f>
        <v/>
      </c>
      <c r="J25" s="25">
        <f>J24-D25</f>
        <v/>
      </c>
      <c r="K25" s="25">
        <f>K24-E25</f>
        <v/>
      </c>
      <c r="L25" s="25">
        <f>L24-F25</f>
        <v/>
      </c>
      <c r="M25" s="25" t="n"/>
      <c r="N25" s="25" t="n"/>
    </row>
    <row r="26">
      <c r="A26" s="21" t="n"/>
      <c r="B26" s="22" t="n"/>
      <c r="C26" s="23" t="n"/>
      <c r="D26" s="23" t="n"/>
      <c r="E26" s="23" t="n"/>
      <c r="F26" s="23" t="n"/>
      <c r="G26" s="23" t="n"/>
      <c r="H26" s="23" t="n"/>
      <c r="I26" s="25">
        <f>I25-C26</f>
        <v/>
      </c>
      <c r="J26" s="25">
        <f>J25-D26</f>
        <v/>
      </c>
      <c r="K26" s="25">
        <f>K25-E26</f>
        <v/>
      </c>
      <c r="L26" s="25">
        <f>L25-F26</f>
        <v/>
      </c>
      <c r="M26" s="25" t="n"/>
      <c r="N26" s="25" t="n"/>
    </row>
    <row r="27">
      <c r="A27" s="21" t="n"/>
      <c r="B27" s="22" t="n"/>
      <c r="C27" s="23" t="n"/>
      <c r="D27" s="23" t="n"/>
      <c r="E27" s="23" t="n"/>
      <c r="F27" s="23" t="n"/>
      <c r="G27" s="23" t="n"/>
      <c r="H27" s="23" t="n"/>
      <c r="I27" s="25">
        <f>I26-C27</f>
        <v/>
      </c>
      <c r="J27" s="25">
        <f>J26-D27</f>
        <v/>
      </c>
      <c r="K27" s="25">
        <f>K26-E27</f>
        <v/>
      </c>
      <c r="L27" s="25">
        <f>L26-F27</f>
        <v/>
      </c>
      <c r="M27" s="25" t="n"/>
      <c r="N27" s="25" t="n"/>
    </row>
    <row r="28">
      <c r="A28" s="21" t="n"/>
      <c r="B28" s="22" t="n"/>
      <c r="C28" s="23" t="n"/>
      <c r="D28" s="23" t="n"/>
      <c r="E28" s="23" t="n"/>
      <c r="F28" s="23" t="n"/>
      <c r="G28" s="23" t="n"/>
      <c r="H28" s="23" t="n"/>
      <c r="I28" s="25">
        <f>I27-C28</f>
        <v/>
      </c>
      <c r="J28" s="25">
        <f>J27-D28</f>
        <v/>
      </c>
      <c r="K28" s="25">
        <f>K27-E28</f>
        <v/>
      </c>
      <c r="L28" s="25">
        <f>L27-F28</f>
        <v/>
      </c>
      <c r="M28" s="25" t="n"/>
      <c r="N28" s="25" t="n"/>
    </row>
    <row r="29">
      <c r="A29" s="21" t="n"/>
      <c r="B29" s="22" t="n"/>
      <c r="C29" s="23" t="n"/>
      <c r="D29" s="23" t="n"/>
      <c r="E29" s="23" t="n"/>
      <c r="F29" s="23" t="n"/>
      <c r="G29" s="23" t="n"/>
      <c r="H29" s="23" t="n"/>
      <c r="I29" s="25">
        <f>I28-C29</f>
        <v/>
      </c>
      <c r="J29" s="25">
        <f>J28-D29</f>
        <v/>
      </c>
      <c r="K29" s="25">
        <f>K28-E29</f>
        <v/>
      </c>
      <c r="L29" s="25">
        <f>L28-F29</f>
        <v/>
      </c>
      <c r="M29" s="25" t="n"/>
      <c r="N29" s="25" t="n"/>
    </row>
    <row r="30">
      <c r="A30" s="21" t="n"/>
      <c r="B30" s="22" t="n"/>
      <c r="C30" s="23" t="n"/>
      <c r="D30" s="23" t="n"/>
      <c r="E30" s="23" t="n"/>
      <c r="F30" s="23" t="n"/>
      <c r="G30" s="23" t="n"/>
      <c r="H30" s="23" t="n"/>
      <c r="I30" s="25">
        <f>I29-C30</f>
        <v/>
      </c>
      <c r="J30" s="25">
        <f>J29-D30</f>
        <v/>
      </c>
      <c r="K30" s="25">
        <f>K29-E30</f>
        <v/>
      </c>
      <c r="L30" s="25">
        <f>L29-F30</f>
        <v/>
      </c>
      <c r="M30" s="25" t="n"/>
      <c r="N30" s="25" t="n"/>
    </row>
    <row r="31">
      <c r="A31" s="21" t="n"/>
      <c r="B31" s="22" t="n"/>
      <c r="C31" s="23" t="n"/>
      <c r="D31" s="23" t="n"/>
      <c r="E31" s="23" t="n"/>
      <c r="F31" s="23" t="n"/>
      <c r="G31" s="23" t="n"/>
      <c r="H31" s="23" t="n"/>
      <c r="I31" s="25">
        <f>I30-C31</f>
        <v/>
      </c>
      <c r="J31" s="25">
        <f>J30-D31</f>
        <v/>
      </c>
      <c r="K31" s="25">
        <f>K30-E31</f>
        <v/>
      </c>
      <c r="L31" s="25">
        <f>L30-F31</f>
        <v/>
      </c>
      <c r="M31" s="25" t="n"/>
      <c r="N31" s="25" t="n"/>
    </row>
    <row r="32">
      <c r="A32" s="21" t="n"/>
      <c r="B32" s="22" t="n"/>
      <c r="C32" s="23" t="n"/>
      <c r="D32" s="23" t="n"/>
      <c r="E32" s="23" t="n"/>
      <c r="F32" s="23" t="n"/>
      <c r="G32" s="23" t="n"/>
      <c r="H32" s="23" t="n"/>
      <c r="I32" s="25">
        <f>I31-C32</f>
        <v/>
      </c>
      <c r="J32" s="25">
        <f>J31-D32</f>
        <v/>
      </c>
      <c r="K32" s="25">
        <f>K31-E32</f>
        <v/>
      </c>
      <c r="L32" s="25">
        <f>L31-F32</f>
        <v/>
      </c>
      <c r="M32" s="25" t="n"/>
      <c r="N32" s="25" t="n"/>
    </row>
    <row r="33">
      <c r="A33" s="21" t="n"/>
      <c r="B33" s="22" t="n"/>
      <c r="C33" s="23" t="n"/>
      <c r="D33" s="23" t="n"/>
      <c r="E33" s="23" t="n"/>
      <c r="F33" s="23" t="n"/>
      <c r="G33" s="23" t="n"/>
      <c r="H33" s="23" t="n"/>
      <c r="I33" s="25">
        <f>I32-C33</f>
        <v/>
      </c>
      <c r="J33" s="25">
        <f>J32-D33</f>
        <v/>
      </c>
      <c r="K33" s="25">
        <f>K32-E33</f>
        <v/>
      </c>
      <c r="L33" s="25">
        <f>L32-F33</f>
        <v/>
      </c>
      <c r="M33" s="25" t="n"/>
      <c r="N33" s="25" t="n"/>
    </row>
    <row r="34">
      <c r="A34" s="21" t="n"/>
      <c r="B34" s="22" t="n"/>
      <c r="C34" s="23" t="n"/>
      <c r="D34" s="23" t="n"/>
      <c r="E34" s="23" t="n"/>
      <c r="F34" s="23" t="n"/>
      <c r="G34" s="23" t="n"/>
      <c r="H34" s="23" t="n"/>
      <c r="I34" s="25">
        <f>I33-C34</f>
        <v/>
      </c>
      <c r="J34" s="25">
        <f>J33-D34</f>
        <v/>
      </c>
      <c r="K34" s="25">
        <f>K33-E34</f>
        <v/>
      </c>
      <c r="L34" s="25">
        <f>L33-F34</f>
        <v/>
      </c>
      <c r="M34" s="25" t="n"/>
      <c r="N34" s="25" t="n"/>
    </row>
    <row r="35">
      <c r="A35" s="21" t="n"/>
      <c r="B35" s="22" t="n"/>
      <c r="C35" s="23" t="n"/>
      <c r="D35" s="23" t="n"/>
      <c r="E35" s="23" t="n"/>
      <c r="F35" s="23" t="n"/>
      <c r="G35" s="23" t="n"/>
      <c r="H35" s="23" t="n"/>
      <c r="I35" s="25">
        <f>I34-C35</f>
        <v/>
      </c>
      <c r="J35" s="25">
        <f>J34-D35</f>
        <v/>
      </c>
      <c r="K35" s="25">
        <f>K34-E35</f>
        <v/>
      </c>
      <c r="L35" s="25">
        <f>L34-F35</f>
        <v/>
      </c>
      <c r="M35" s="25" t="n"/>
      <c r="N35" s="25" t="n"/>
    </row>
    <row r="36">
      <c r="A36" s="21" t="n"/>
      <c r="B36" s="22" t="n"/>
      <c r="C36" s="23" t="n"/>
      <c r="D36" s="23" t="n"/>
      <c r="E36" s="23" t="n"/>
      <c r="F36" s="23" t="n"/>
      <c r="G36" s="23" t="n"/>
      <c r="H36" s="23" t="n"/>
      <c r="I36" s="25">
        <f>I35-C36</f>
        <v/>
      </c>
      <c r="J36" s="25">
        <f>J35-D36</f>
        <v/>
      </c>
      <c r="K36" s="25">
        <f>K35-E36</f>
        <v/>
      </c>
      <c r="L36" s="25">
        <f>L35-F36</f>
        <v/>
      </c>
      <c r="M36" s="25" t="n"/>
      <c r="N36" s="25" t="n"/>
    </row>
    <row r="37">
      <c r="A37" s="21" t="inlineStr">
        <is>
          <t>★ Corte final (al cerrar lote)</t>
        </is>
      </c>
      <c r="B37" s="22" t="inlineStr"/>
      <c r="C37" s="23" t="n"/>
      <c r="D37" s="23" t="n"/>
      <c r="E37" s="23" t="n"/>
      <c r="F37" s="23" t="n"/>
      <c r="G37" s="23" t="n"/>
      <c r="H37" s="23" t="n"/>
      <c r="I37" s="26">
        <f>I36-C37</f>
        <v/>
      </c>
      <c r="J37" s="26">
        <f>J36-D37</f>
        <v/>
      </c>
      <c r="K37" s="26">
        <f>K36-E37</f>
        <v/>
      </c>
      <c r="L37" s="26">
        <f>L36-F37</f>
        <v/>
      </c>
      <c r="M37" s="26" t="n"/>
      <c r="N37" s="26" t="n"/>
    </row>
  </sheetData>
  <mergeCells count="3">
    <mergeCell ref="C4:N4"/>
    <mergeCell ref="A3:N3"/>
    <mergeCell ref="A2:N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2026-06-30T17:15:26Z</dcterms:created>
  <dcterms:modified xsi:type="dcterms:W3CDTF">2026-06-30T17:15:26Z</dcterms:modified>
</cp:coreProperties>
</file>