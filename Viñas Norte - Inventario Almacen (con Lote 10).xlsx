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men Actual" sheetId="1" state="visible" r:id="rId1"/>
    <sheet name="Historial Lote 34" sheetId="2" state="visible" r:id="rId2"/>
    <sheet name="Historial Lote 9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charset val="1"/>
      <b val="1"/>
      <color rgb="FFFFFFFF"/>
      <sz val="16"/>
    </font>
    <font>
      <name val="Calibri"/>
      <charset val="1"/>
      <b val="1"/>
      <color rgb="FFFFFFFF"/>
      <sz val="11"/>
    </font>
    <font>
      <name val="Calibri"/>
      <charset val="1"/>
      <b val="1"/>
      <color rgb="FFFFFFFF"/>
      <sz val="13"/>
    </font>
    <font>
      <name val="Calibri"/>
      <charset val="1"/>
      <b val="1"/>
      <color rgb="FFFFFFFF"/>
      <sz val="10"/>
    </font>
    <font>
      <name val="Calibri"/>
      <charset val="1"/>
      <color rgb="FF1A1A1A"/>
      <sz val="10"/>
    </font>
    <font>
      <name val="Calibri"/>
      <charset val="1"/>
      <b val="1"/>
      <color rgb="FF0D3B6E"/>
      <sz val="11"/>
    </font>
    <font>
      <name val="Calibri"/>
      <charset val="1"/>
      <b val="1"/>
      <sz val="10"/>
    </font>
    <font>
      <name val="Calibri"/>
      <charset val="1"/>
      <color rgb="FF55606E"/>
      <sz val="9"/>
    </font>
    <font>
      <name val="Calibri"/>
      <charset val="1"/>
      <sz val="9"/>
    </font>
    <font>
      <name val="Calibri"/>
      <charset val="1"/>
      <i val="1"/>
      <color rgb="FF555555"/>
      <sz val="9"/>
    </font>
    <font>
      <name val="Calibri"/>
      <charset val="1"/>
      <b val="1"/>
      <color rgb="FFFFFFFF"/>
      <sz val="14"/>
    </font>
    <font>
      <name val="Calibri"/>
      <charset val="1"/>
      <b val="1"/>
      <color rgb="FF2E7D46"/>
      <sz val="10"/>
    </font>
    <font>
      <name val="Calibri"/>
      <charset val="1"/>
      <b val="1"/>
      <color rgb="FF8A5A00"/>
      <sz val="10"/>
    </font>
    <font>
      <name val="Calibri"/>
      <b val="1"/>
      <color rgb="FFC55A11"/>
      <sz val="9"/>
    </font>
    <font>
      <name val="Calibri"/>
      <b val="1"/>
      <color rgb="FF2E7D46"/>
      <sz val="9"/>
    </font>
    <font>
      <name val="Calibri"/>
      <b val="1"/>
      <color rgb="FF8A5A00"/>
      <sz val="9"/>
    </font>
    <font>
      <name val="Calibri"/>
      <b val="1"/>
      <color rgb="FFB23A3A"/>
      <sz val="9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20">
    <fill>
      <patternFill/>
    </fill>
    <fill>
      <patternFill patternType="gray125"/>
    </fill>
    <fill>
      <patternFill patternType="solid">
        <fgColor rgb="FF1F3A5F"/>
        <bgColor rgb="FF0D3B6E"/>
      </patternFill>
    </fill>
    <fill>
      <patternFill patternType="solid">
        <fgColor rgb="FF2E6DA4"/>
        <bgColor rgb="FF55606E"/>
      </patternFill>
    </fill>
    <fill>
      <patternFill patternType="solid">
        <fgColor rgb="FFFFFFFF"/>
        <bgColor rgb="FFF2F4F7"/>
      </patternFill>
    </fill>
    <fill>
      <patternFill patternType="solid">
        <fgColor rgb="FFFFF9DB"/>
        <bgColor rgb="FFFFF5D6"/>
      </patternFill>
    </fill>
    <fill>
      <patternFill patternType="solid">
        <fgColor rgb="FFFBE4E4"/>
        <bgColor rgb="FFFDE8E8"/>
      </patternFill>
    </fill>
    <fill>
      <patternFill patternType="solid">
        <fgColor rgb="FFF2F4F7"/>
        <bgColor rgb="FFEAF5EA"/>
      </patternFill>
    </fill>
    <fill>
      <patternFill patternType="solid">
        <fgColor rgb="FFE2EFDA"/>
        <bgColor rgb="FFEAF5EA"/>
      </patternFill>
    </fill>
    <fill>
      <patternFill patternType="solid">
        <fgColor rgb="FF8A94A6"/>
        <bgColor rgb="FF808080"/>
      </patternFill>
    </fill>
    <fill>
      <patternFill patternType="solid">
        <fgColor rgb="FFFFF2CC"/>
        <bgColor rgb="FFFFF5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BE4E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EF3CF"/>
      </patternFill>
    </fill>
    <fill>
      <patternFill patternType="solid">
        <fgColor rgb="00FCF3CF"/>
      </patternFill>
    </fill>
  </fills>
  <borders count="7">
    <border>
      <left/>
      <right/>
      <top/>
      <bottom/>
      <diagonal/>
    </border>
    <border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C7CDD6"/>
      </right>
      <top style="thin">
        <color rgb="FFC7CDD6"/>
      </top>
      <bottom style="thin">
        <color rgb="FFC7CDD6"/>
      </bottom>
      <diagonal/>
    </border>
    <border>
      <left/>
      <right/>
      <top style="thin">
        <color rgb="FFC7CDD6"/>
      </top>
      <bottom/>
      <diagonal/>
    </border>
    <border>
      <left/>
      <right style="thin">
        <color rgb="FFC7CDD6"/>
      </right>
      <top style="thin">
        <color rgb="FFC7CDD6"/>
      </top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0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/>
    </xf>
    <xf numFmtId="0" fontId="19" fillId="0" borderId="0" pivotButton="0" quotePrefix="0" xfId="0"/>
    <xf numFmtId="0" fontId="20" fillId="16" borderId="0" applyAlignment="1" pivotButton="0" quotePrefix="0" xfId="0">
      <alignment horizontal="left" vertical="center"/>
    </xf>
    <xf numFmtId="0" fontId="21" fillId="17" borderId="6" applyAlignment="1" pivotButton="0" quotePrefix="0" xfId="0">
      <alignment horizontal="center"/>
    </xf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0" fontId="21" fillId="18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left" vertical="center"/>
    </xf>
    <xf numFmtId="0" fontId="0" fillId="19" borderId="6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/>
  </cellStyles>
  <dxfs count="16">
    <dxf>
      <font>
        <name val="Calibri"/>
        <b val="1"/>
        <color rgb="FF2E7D46"/>
      </font>
      <fill>
        <patternFill patternType="solid">
          <f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b val="1"/>
        <color rgb="FF8A5A00"/>
      </font>
      <fill>
        <patternFill patternType="solid">
          <fgColor rgb="FFFFF2C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b val="1"/>
        <color rgb="FFC55A11"/>
      </font>
      <fill>
        <patternFill patternType="solid">
          <f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b val="1"/>
        <color rgb="FFB23A3A"/>
      </font>
      <fill>
        <patternFill patternType="solid">
          <fgColor rgb="FFFBE4E4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2E7D46"/>
      </font>
      <fill>
        <patternFill patternType="solid">
          <f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8A5A00"/>
      </font>
      <fill>
        <patternFill patternType="solid">
          <fgColor rgb="FFFFF2C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C55A11"/>
      </font>
      <fill>
        <patternFill patternType="solid">
          <f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B23A3A"/>
      </font>
      <fill>
        <patternFill patternType="solid">
          <fgColor rgb="FFFBE4E4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2E7D46"/>
      </font>
      <fill>
        <patternFill patternType="solid">
          <f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8A5A00"/>
      </font>
      <fill>
        <patternFill patternType="solid">
          <fgColor rgb="FFFFF2C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C55A11"/>
      </font>
      <fill>
        <patternFill patternType="solid">
          <f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  <color rgb="FFB23A3A"/>
      </font>
      <fill>
        <patternFill patternType="solid">
          <fgColor rgb="FFFBE4E4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1"/>
        <color rgb="001E8449"/>
      </font>
      <fill>
        <patternFill patternType="solid">
          <fgColor rgb="00D5F5E3"/>
        </patternFill>
      </fill>
    </dxf>
    <dxf>
      <font>
        <b val="1"/>
        <color rgb="00B7950B"/>
      </font>
      <fill>
        <patternFill patternType="solid">
          <fgColor rgb="00FCF3CF"/>
        </patternFill>
      </fill>
    </dxf>
    <dxf>
      <font>
        <b val="1"/>
        <color rgb="00922B21"/>
      </font>
      <fill>
        <patternFill patternType="solid">
          <fgColor rgb="00F5B7B1"/>
        </patternFill>
      </fill>
    </dxf>
    <dxf>
      <font>
        <b val="1"/>
        <color rgb="00566573"/>
      </font>
      <fill>
        <patternFill patternType="solid">
          <fgColor rgb="00D5D8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FBFBF"/>
      <rgbColor rgb="FF808080"/>
      <rgbColor rgb="FF9999FF"/>
      <rgbColor rgb="FFB23A3A"/>
      <rgbColor rgb="FFFFF9DB"/>
      <rgbColor rgb="FFEAF5EA"/>
      <rgbColor rgb="FF660066"/>
      <rgbColor rgb="FFFF8080"/>
      <rgbColor rgb="FF2E6DA4"/>
      <rgbColor rgb="FFC7C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FFF2CC"/>
      <rgbColor rgb="FFFDE8E8"/>
      <rgbColor rgb="FFFFF5D6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5606E"/>
      <rgbColor rgb="FF8A94A6"/>
      <rgbColor rgb="FF0D3B6E"/>
      <rgbColor rgb="FF2E7D46"/>
      <rgbColor rgb="FF003300"/>
      <rgbColor rgb="FF1A1A1A"/>
      <rgbColor rgb="FF993300"/>
      <rgbColor rgb="FF993366"/>
      <rgbColor rgb="FF555555"/>
      <rgbColor rgb="FF1F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RowHeight="15"/>
  <cols>
    <col width="40" customWidth="1" style="26" min="2" max="2"/>
    <col width="9" customWidth="1" style="26" min="3" max="3"/>
    <col width="9" customWidth="1" style="26" min="4" max="4"/>
    <col width="11" customWidth="1" style="26" min="5" max="5"/>
    <col width="40" customWidth="1" style="26" min="6" max="6"/>
  </cols>
  <sheetData>
    <row r="2">
      <c r="B2" s="39" t="inlineStr">
        <is>
          <t>INVENTARIO DE ALMACÉN — VITROPISOS</t>
        </is>
      </c>
    </row>
    <row r="3">
      <c r="B3" s="40" t="inlineStr">
        <is>
          <t>Estado actual por lote  ·  Actualizado a junio 2026</t>
        </is>
      </c>
    </row>
    <row r="5">
      <c r="B5" s="41" t="inlineStr">
        <is>
          <t>📦  LOTE 10 (MERLOT) MZA 7   ·   ACTIVO</t>
        </is>
      </c>
    </row>
    <row r="6">
      <c r="B6" s="42" t="inlineStr">
        <is>
          <t>Material</t>
        </is>
      </c>
      <c r="C6" s="42" t="inlineStr">
        <is>
          <t>Inicial</t>
        </is>
      </c>
      <c r="D6" s="42" t="inlineStr">
        <is>
          <t>Actual</t>
        </is>
      </c>
      <c r="E6" s="42" t="inlineStr">
        <is>
          <t>Estado</t>
        </is>
      </c>
      <c r="F6" s="42" t="inlineStr">
        <is>
          <t>Notas</t>
        </is>
      </c>
    </row>
    <row r="7">
      <c r="B7" s="43" t="inlineStr">
        <is>
          <t>Piso Moret 59.6 × 119.4 cm (2 pzas)</t>
        </is>
      </c>
      <c r="C7" s="44" t="n">
        <v>98</v>
      </c>
      <c r="D7" s="45" t="n">
        <v>48</v>
      </c>
      <c r="E7" s="46">
        <f>IF(N(C7)=0,"—",IF(D7="","s/d",IF(D7=0,"AGOTADO",IF(D7/C7&lt;=0.15,"CRÍTICO",IF(D7/C7&lt;=0.4,"BAJO","OK")))))</f>
        <v/>
      </c>
      <c r="F7" s="47" t="inlineStr">
        <is>
          <t>Piso en su mayoría (escalera, piso gral, etc.)</t>
        </is>
      </c>
    </row>
    <row r="8">
      <c r="B8" s="43" t="inlineStr">
        <is>
          <t>Royal Walnut 20 × 120</t>
        </is>
      </c>
      <c r="C8" s="44" t="n">
        <v>37</v>
      </c>
      <c r="D8" s="45" t="inlineStr"/>
      <c r="E8" s="46">
        <f>IF(N(C8)=0,"—",IF(D8="","s/d",IF(D8=0,"AGOTADO",IF(D8/C8&lt;=0.15,"CRÍTICO",IF(D8/C8&lt;=0.4,"BAJO","OK")))))</f>
        <v/>
      </c>
      <c r="F8" s="47" t="inlineStr">
        <is>
          <t>Recámara 1, 2 y principal — FALTA CONTAR</t>
        </is>
      </c>
    </row>
    <row r="9">
      <c r="B9" s="43" t="inlineStr">
        <is>
          <t>Urbania White 30 × 45</t>
        </is>
      </c>
      <c r="C9" s="44" t="n">
        <v>8</v>
      </c>
      <c r="D9" s="45" t="n">
        <v>7</v>
      </c>
      <c r="E9" s="46">
        <f>IF(N(C9)=0,"—",IF(D9="","s/d",IF(D9=0,"AGOTADO",IF(D9/C9&lt;=0.15,"CRÍTICO",IF(D9/C9&lt;=0.4,"BAJO","OK")))))</f>
        <v/>
      </c>
      <c r="F9" s="47" t="inlineStr">
        <is>
          <t>Piso que va en cuarto de lavado</t>
        </is>
      </c>
    </row>
    <row r="10">
      <c r="B10" s="43" t="inlineStr">
        <is>
          <t>Malla Lyndhurst 5×5 30×60</t>
        </is>
      </c>
      <c r="C10" s="44" t="inlineStr">
        <is>
          <t>—</t>
        </is>
      </c>
      <c r="D10" s="45" t="n">
        <v>20</v>
      </c>
      <c r="E10" s="46">
        <f>IF(N(C10)=0,"—",IF(D10="","s/d",IF(D10=0,"AGOTADO",IF(D10/C10&lt;=0.15,"CRÍTICO",IF(D10/C10&lt;=0.4,"BAJO","OK")))))</f>
        <v/>
      </c>
      <c r="F10" s="47" t="inlineStr">
        <is>
          <t>Charola de baños P.A. (inicial s/d)</t>
        </is>
      </c>
    </row>
    <row r="11">
      <c r="B11" s="43" t="inlineStr">
        <is>
          <t>Pegavitro Blanco 20 kg Niasa</t>
        </is>
      </c>
      <c r="C11" s="44" t="inlineStr">
        <is>
          <t>—</t>
        </is>
      </c>
      <c r="D11" s="45" t="n">
        <v>41</v>
      </c>
      <c r="E11" s="46">
        <f>IF(N(C11)=0,"—",IF(D11="","s/d",IF(D11=0,"AGOTADO",IF(D11/C11&lt;=0.15,"CRÍTICO",IF(D11/C11&lt;=0.4,"BAJO","OK")))))</f>
        <v/>
      </c>
      <c r="F11" s="47" t="inlineStr">
        <is>
          <t>Adhesivo</t>
        </is>
      </c>
    </row>
    <row r="12">
      <c r="B12" s="43" t="inlineStr">
        <is>
          <t>Fija Porcelánico Blanco 20 kg Niasa</t>
        </is>
      </c>
      <c r="C12" s="44" t="inlineStr">
        <is>
          <t>—</t>
        </is>
      </c>
      <c r="D12" s="45" t="n">
        <v>14</v>
      </c>
      <c r="E12" s="46">
        <f>IF(N(C12)=0,"—",IF(D12="","s/d",IF(D12=0,"AGOTADO",IF(D12/C12&lt;=0.15,"CRÍTICO",IF(D12/C12&lt;=0.4,"BAJO","OK")))))</f>
        <v/>
      </c>
      <c r="F12" s="47" t="inlineStr">
        <is>
          <t>Adhesivo porcelánico</t>
        </is>
      </c>
    </row>
    <row r="14">
      <c r="B14" s="41" t="inlineStr">
        <is>
          <t>📦  LOTE 34 (CABERNET) MZA 14</t>
        </is>
      </c>
    </row>
    <row r="15">
      <c r="B15" s="42" t="inlineStr">
        <is>
          <t>Material</t>
        </is>
      </c>
      <c r="C15" s="42" t="inlineStr">
        <is>
          <t>Inicial</t>
        </is>
      </c>
      <c r="D15" s="42" t="inlineStr">
        <is>
          <t>Actual</t>
        </is>
      </c>
      <c r="E15" s="42" t="inlineStr">
        <is>
          <t>Estado</t>
        </is>
      </c>
      <c r="F15" s="42" t="inlineStr">
        <is>
          <t>Notas</t>
        </is>
      </c>
    </row>
    <row r="16">
      <c r="B16" s="43" t="inlineStr">
        <is>
          <t>Piso Moret 59.6 × 119.4 cm (2 pzas)</t>
        </is>
      </c>
      <c r="C16" s="44" t="n">
        <v>117</v>
      </c>
      <c r="D16" s="45" t="n">
        <v>0</v>
      </c>
      <c r="E16" s="46">
        <f>IF(N(C16)=0,"—",IF(D16="","s/d",IF(D16=0,"AGOTADO",IF(D16/C16&lt;=0.15,"CRÍTICO",IF(D16/C16&lt;=0.4,"BAJO","OK")))))</f>
        <v/>
      </c>
      <c r="F16" s="47" t="inlineStr">
        <is>
          <t>Piso en su mayoría (escalera, piso gral, etc.)</t>
        </is>
      </c>
    </row>
    <row r="17">
      <c r="B17" s="43" t="inlineStr">
        <is>
          <t>Urbania White 30 × 45</t>
        </is>
      </c>
      <c r="C17" s="44" t="n">
        <v>8</v>
      </c>
      <c r="D17" s="45" t="n">
        <v>0</v>
      </c>
      <c r="E17" s="46">
        <f>IF(N(C17)=0,"—",IF(D17="","s/d",IF(D17=0,"AGOTADO",IF(D17/C17&lt;=0.15,"CRÍTICO",IF(D17/C17&lt;=0.4,"BAJO","OK")))))</f>
        <v/>
      </c>
      <c r="F17" s="47" t="inlineStr">
        <is>
          <t>Piso que va en cuarto de lavado</t>
        </is>
      </c>
    </row>
    <row r="18">
      <c r="B18" s="43" t="inlineStr">
        <is>
          <t>Malla Lyndhurst 5×5 30×60</t>
        </is>
      </c>
      <c r="C18" s="44" t="n">
        <v>28</v>
      </c>
      <c r="D18" s="45" t="n">
        <v>12</v>
      </c>
      <c r="E18" s="46">
        <f>IF(N(C18)=0,"—",IF(D18="","s/d",IF(D18=0,"AGOTADO",IF(D18/C18&lt;=0.15,"CRÍTICO",IF(D18/C18&lt;=0.4,"BAJO","OK")))))</f>
        <v/>
      </c>
      <c r="F18" s="47" t="inlineStr">
        <is>
          <t>Piso que va en charola de baños P.A.</t>
        </is>
      </c>
    </row>
    <row r="19">
      <c r="B19" s="43" t="inlineStr">
        <is>
          <t>Royal Walnut 20 × 120</t>
        </is>
      </c>
      <c r="C19" s="44" t="n">
        <v>41</v>
      </c>
      <c r="D19" s="45" t="n">
        <v>0</v>
      </c>
      <c r="E19" s="46">
        <f>IF(N(C19)=0,"—",IF(D19="","s/d",IF(D19=0,"AGOTADO",IF(D19/C19&lt;=0.15,"CRÍTICO",IF(D19/C19&lt;=0.4,"BAJO","OK")))))</f>
        <v/>
      </c>
      <c r="F19" s="47" t="inlineStr">
        <is>
          <t>Recámara 1, 2 y principal</t>
        </is>
      </c>
    </row>
    <row r="20">
      <c r="B20" s="43" t="inlineStr">
        <is>
          <t>Pegavitro Blanco 20 kg Niasa</t>
        </is>
      </c>
      <c r="C20" s="44" t="n">
        <v>93</v>
      </c>
      <c r="D20" s="45" t="n">
        <v>0</v>
      </c>
      <c r="E20" s="46">
        <f>IF(N(C20)=0,"—",IF(D20="","s/d",IF(D20=0,"AGOTADO",IF(D20/C20&lt;=0.15,"CRÍTICO",IF(D20/C20&lt;=0.4,"BAJO","OK")))))</f>
        <v/>
      </c>
      <c r="F20" s="47" t="inlineStr"/>
    </row>
    <row r="21">
      <c r="B21" s="43" t="inlineStr">
        <is>
          <t>Unicrest 20 kg</t>
        </is>
      </c>
      <c r="C21" s="44" t="inlineStr">
        <is>
          <t>—</t>
        </is>
      </c>
      <c r="D21" s="45" t="n">
        <v>0</v>
      </c>
      <c r="E21" s="46">
        <f>IF(N(C21)=0,"—",IF(D21="","s/d",IF(D21=0,"AGOTADO",IF(D21/C21&lt;=0.15,"CRÍTICO",IF(D21/C21&lt;=0.4,"BAJO","OK")))))</f>
        <v/>
      </c>
      <c r="F21" s="47" t="inlineStr"/>
    </row>
    <row r="23">
      <c r="B23" s="41" t="inlineStr">
        <is>
          <t>📦  LOTE 9 (CABERNET) MZA 7</t>
        </is>
      </c>
    </row>
    <row r="24">
      <c r="B24" s="42" t="inlineStr">
        <is>
          <t>Material</t>
        </is>
      </c>
      <c r="C24" s="42" t="inlineStr">
        <is>
          <t>Inicial</t>
        </is>
      </c>
      <c r="D24" s="42" t="inlineStr">
        <is>
          <t>Actual</t>
        </is>
      </c>
      <c r="E24" s="42" t="inlineStr">
        <is>
          <t>Estado</t>
        </is>
      </c>
      <c r="F24" s="42" t="inlineStr">
        <is>
          <t>Notas</t>
        </is>
      </c>
    </row>
    <row r="25">
      <c r="B25" s="43" t="inlineStr">
        <is>
          <t>Piso Moret 59.6 × 119.4 cm (2 pzas)</t>
        </is>
      </c>
      <c r="C25" s="44" t="n">
        <v>98</v>
      </c>
      <c r="D25" s="45" t="n">
        <v>0</v>
      </c>
      <c r="E25" s="46">
        <f>IF(N(C25)=0,"—",IF(D25="","s/d",IF(D25=0,"AGOTADO",IF(D25/C25&lt;=0.15,"CRÍTICO",IF(D25/C25&lt;=0.4,"BAJO","OK")))))</f>
        <v/>
      </c>
      <c r="F25" s="47" t="inlineStr">
        <is>
          <t>Piso en su mayoría (escalera, piso gral, etc.)</t>
        </is>
      </c>
    </row>
    <row r="26">
      <c r="B26" s="43" t="inlineStr">
        <is>
          <t>Urbania White 30 × 45</t>
        </is>
      </c>
      <c r="C26" s="44" t="n">
        <v>8</v>
      </c>
      <c r="D26" s="45" t="n">
        <v>0</v>
      </c>
      <c r="E26" s="46">
        <f>IF(N(C26)=0,"—",IF(D26="","s/d",IF(D26=0,"AGOTADO",IF(D26/C26&lt;=0.15,"CRÍTICO",IF(D26/C26&lt;=0.4,"BAJO","OK")))))</f>
        <v/>
      </c>
      <c r="F26" s="47" t="inlineStr">
        <is>
          <t>Piso que va en cuarto de lavado</t>
        </is>
      </c>
    </row>
    <row r="27">
      <c r="B27" s="43" t="inlineStr">
        <is>
          <t>Malla Lyndhurst 5×5 30×60</t>
        </is>
      </c>
      <c r="C27" s="44" t="n">
        <v>17</v>
      </c>
      <c r="D27" s="45" t="n">
        <v>2</v>
      </c>
      <c r="E27" s="46">
        <f>IF(N(C27)=0,"—",IF(D27="","s/d",IF(D27=0,"AGOTADO",IF(D27/C27&lt;=0.15,"CRÍTICO",IF(D27/C27&lt;=0.4,"BAJO","OK")))))</f>
        <v/>
      </c>
      <c r="F27" s="47" t="inlineStr">
        <is>
          <t>Piso que va en charola de baños P.A.</t>
        </is>
      </c>
    </row>
    <row r="28">
      <c r="B28" s="43" t="inlineStr">
        <is>
          <t>Royal Walnut 20 × 120</t>
        </is>
      </c>
      <c r="C28" s="44" t="n">
        <v>37</v>
      </c>
      <c r="D28" s="45" t="n">
        <v>0</v>
      </c>
      <c r="E28" s="46">
        <f>IF(N(C28)=0,"—",IF(D28="","s/d",IF(D28=0,"AGOTADO",IF(D28/C28&lt;=0.15,"CRÍTICO",IF(D28/C28&lt;=0.4,"BAJO","OK")))))</f>
        <v/>
      </c>
      <c r="F28" s="47" t="inlineStr">
        <is>
          <t>Recámara 1, 2 y principal</t>
        </is>
      </c>
    </row>
    <row r="29">
      <c r="B29" s="43" t="inlineStr">
        <is>
          <t>Pegavitro Blanco 20 kg Niasa</t>
        </is>
      </c>
      <c r="C29" s="44" t="n">
        <v>79</v>
      </c>
      <c r="D29" s="45" t="n">
        <v>42</v>
      </c>
      <c r="E29" s="46">
        <f>IF(N(C29)=0,"—",IF(D29="","s/d",IF(D29=0,"AGOTADO",IF(D29/C29&lt;=0.15,"CRÍTICO",IF(D29/C29&lt;=0.4,"BAJO","OK")))))</f>
        <v/>
      </c>
      <c r="F29" s="47" t="inlineStr"/>
    </row>
    <row r="30">
      <c r="B30" s="43" t="inlineStr">
        <is>
          <t>Fija Porcelánico Blanco 20 kg Niasa</t>
        </is>
      </c>
      <c r="C30" s="44" t="n">
        <v>39</v>
      </c>
      <c r="D30" s="45" t="n">
        <v>0</v>
      </c>
      <c r="E30" s="46">
        <f>IF(N(C30)=0,"—",IF(D30="","s/d",IF(D30=0,"AGOTADO",IF(D30/C30&lt;=0.15,"CRÍTICO",IF(D30/C30&lt;=0.4,"BAJO","OK")))))</f>
        <v/>
      </c>
      <c r="F30" s="47" t="inlineStr"/>
    </row>
    <row r="32">
      <c r="B32" s="41" t="inlineStr">
        <is>
          <t>🧰  EXTRAS Y GENERAL · ALMACÉN (todos los lotes)</t>
        </is>
      </c>
    </row>
    <row r="33">
      <c r="B33" s="42" t="inlineStr">
        <is>
          <t>Material</t>
        </is>
      </c>
      <c r="C33" s="42" t="inlineStr">
        <is>
          <t>Cant.</t>
        </is>
      </c>
      <c r="D33" s="42" t="inlineStr">
        <is>
          <t>Unidad</t>
        </is>
      </c>
      <c r="E33" s="42" t="inlineStr"/>
      <c r="F33" s="42" t="inlineStr"/>
    </row>
    <row r="34">
      <c r="B34" s="43" t="inlineStr">
        <is>
          <t>Boquilla Crest Cantera 5 kg</t>
        </is>
      </c>
      <c r="C34" s="48" t="n">
        <v>3</v>
      </c>
      <c r="D34" s="44" t="inlineStr">
        <is>
          <t>cajas</t>
        </is>
      </c>
    </row>
    <row r="35">
      <c r="B35" s="43" t="inlineStr">
        <is>
          <t>Boquilla Crest Blanco 5 kg</t>
        </is>
      </c>
      <c r="C35" s="48" t="n">
        <v>2</v>
      </c>
      <c r="D35" s="44" t="inlineStr">
        <is>
          <t>cajas</t>
        </is>
      </c>
    </row>
    <row r="36">
      <c r="B36" s="43" t="inlineStr">
        <is>
          <t>Boquilla Crest Chocolate 5 kg</t>
        </is>
      </c>
      <c r="C36" s="48" t="n">
        <v>2</v>
      </c>
      <c r="D36" s="44" t="inlineStr">
        <is>
          <t>cajas</t>
        </is>
      </c>
    </row>
    <row r="37">
      <c r="B37" s="43" t="inlineStr">
        <is>
          <t>Boquilla Crest Plata 5 kg</t>
        </is>
      </c>
      <c r="C37" s="48" t="n">
        <v>1</v>
      </c>
      <c r="D37" s="44" t="inlineStr">
        <is>
          <t>caja</t>
        </is>
      </c>
    </row>
    <row r="38">
      <c r="B38" s="43" t="inlineStr">
        <is>
          <t>Kretbond 20 kg (basecoat)</t>
        </is>
      </c>
      <c r="C38" s="48" t="n">
        <v>5</v>
      </c>
      <c r="D38" s="44" t="inlineStr">
        <is>
          <t>sacos</t>
        </is>
      </c>
    </row>
    <row r="39">
      <c r="B39" s="43" t="inlineStr">
        <is>
          <t>Econotex / Recubritech fino 20 kg (estuco)</t>
        </is>
      </c>
      <c r="C39" s="48" t="n">
        <v>2</v>
      </c>
      <c r="D39" s="44" t="inlineStr">
        <is>
          <t>sacos</t>
        </is>
      </c>
    </row>
    <row r="40">
      <c r="B40" s="43" t="inlineStr">
        <is>
          <t>BlueFence 20 lt (impermeabilizante acrílico)</t>
        </is>
      </c>
      <c r="C40" s="48" t="n">
        <v>1</v>
      </c>
      <c r="D40" s="44" t="inlineStr">
        <is>
          <t>cubeta</t>
        </is>
      </c>
    </row>
    <row r="42">
      <c r="B42" s="49" t="inlineStr">
        <is>
          <t>LEYENDA DE ESTADO</t>
        </is>
      </c>
    </row>
    <row r="43">
      <c r="B43" s="49" t="inlineStr">
        <is>
          <t>OK</t>
        </is>
      </c>
      <c r="C43" t="inlineStr">
        <is>
          <t>&gt; 40% del stock inicial</t>
        </is>
      </c>
    </row>
    <row r="44">
      <c r="B44" s="49" t="inlineStr">
        <is>
          <t>BAJO</t>
        </is>
      </c>
      <c r="C44" t="inlineStr">
        <is>
          <t>Entre 15% y 40% restante</t>
        </is>
      </c>
    </row>
    <row r="45">
      <c r="B45" s="49" t="inlineStr">
        <is>
          <t>CRÍTICO</t>
        </is>
      </c>
      <c r="C45" t="inlineStr">
        <is>
          <t>15% o menos restante</t>
        </is>
      </c>
    </row>
    <row r="46">
      <c r="B46" s="49" t="inlineStr">
        <is>
          <t>AGOTADO</t>
        </is>
      </c>
      <c r="C46" t="inlineStr">
        <is>
          <t>Sin existencia (0)</t>
        </is>
      </c>
    </row>
    <row r="47">
      <c r="B47" s="49" t="inlineStr">
        <is>
          <t>s/d</t>
        </is>
      </c>
      <c r="C47" t="inlineStr">
        <is>
          <t>sin dato (contar)</t>
        </is>
      </c>
    </row>
    <row r="49">
      <c r="B49" s="50" t="inlineStr">
        <is>
          <t>💡 Edita solo la columna 'Actual' (amarillo) — el Estado se actualiza solo.</t>
        </is>
      </c>
    </row>
  </sheetData>
  <mergeCells count="6">
    <mergeCell ref="B2:F2"/>
    <mergeCell ref="B3:F3"/>
    <mergeCell ref="B5:F5"/>
    <mergeCell ref="B23:F23"/>
    <mergeCell ref="B14:F14"/>
    <mergeCell ref="B32:F32"/>
  </mergeCells>
  <conditionalFormatting sqref="E7:E12">
    <cfRule type="cellIs" priority="1" operator="equal" dxfId="12">
      <formula>"OK"</formula>
    </cfRule>
    <cfRule type="cellIs" priority="2" operator="equal" dxfId="13">
      <formula>"BAJO"</formula>
    </cfRule>
    <cfRule type="cellIs" priority="3" operator="equal" dxfId="14">
      <formula>"CRÍTICO"</formula>
    </cfRule>
    <cfRule type="cellIs" priority="4" operator="equal" dxfId="15">
      <formula>"AGOTADO"</formula>
    </cfRule>
  </conditionalFormatting>
  <conditionalFormatting sqref="E16:E21">
    <cfRule type="cellIs" priority="5" operator="equal" dxfId="12">
      <formula>"OK"</formula>
    </cfRule>
    <cfRule type="cellIs" priority="6" operator="equal" dxfId="13">
      <formula>"BAJO"</formula>
    </cfRule>
    <cfRule type="cellIs" priority="7" operator="equal" dxfId="14">
      <formula>"CRÍTICO"</formula>
    </cfRule>
    <cfRule type="cellIs" priority="8" operator="equal" dxfId="15">
      <formula>"AGOTADO"</formula>
    </cfRule>
  </conditionalFormatting>
  <conditionalFormatting sqref="E25:E30">
    <cfRule type="cellIs" priority="9" operator="equal" dxfId="12">
      <formula>"OK"</formula>
    </cfRule>
    <cfRule type="cellIs" priority="10" operator="equal" dxfId="13">
      <formula>"BAJO"</formula>
    </cfRule>
    <cfRule type="cellIs" priority="11" operator="equal" dxfId="14">
      <formula>"CRÍTICO"</formula>
    </cfRule>
    <cfRule type="cellIs" priority="12" operator="equal" dxfId="15">
      <formula>"AGOTADO"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0"/>
  <sheetViews>
    <sheetView showGridLines="0" zoomScaleNormal="100" workbookViewId="0">
      <pane xSplit="1" ySplit="5" topLeftCell="B6" activePane="bottomRight" state="frozen"/>
      <selection pane="bottomLeft" activeCell="A6" sqref="A6"/>
      <selection pane="topRight" activeCell="B1" sqref="B1"/>
      <selection pane="bottomRight" activeCell="A1" sqref="A1"/>
    </sheetView>
  </sheetViews>
  <sheetFormatPr baseColWidth="8" defaultColWidth="8.7421875" defaultRowHeight="15"/>
  <cols>
    <col width="18.0234375" customWidth="1" style="26" min="1" max="1"/>
    <col width="16.0078125" customWidth="1" style="26" min="2" max="7"/>
  </cols>
  <sheetData>
    <row r="2" ht="30" customHeight="1" s="26">
      <c r="A2" s="38" t="inlineStr">
        <is>
          <t>HISTORIAL DE INVENTARIO — LOTE 34 MZA 14</t>
        </is>
      </c>
    </row>
    <row r="3" ht="19.5" customHeight="1" s="26">
      <c r="A3" s="37" t="inlineStr">
        <is>
          <t>De arriba (inicial / completo) hacia abajo (más reciente)</t>
        </is>
      </c>
    </row>
    <row r="5" ht="33.75" customHeight="1" s="26">
      <c r="A5" s="36" t="inlineStr">
        <is>
          <t>Fecha / Corte</t>
        </is>
      </c>
      <c r="B5" s="3" t="inlineStr">
        <is>
          <t>Piso Moret</t>
        </is>
      </c>
      <c r="C5" s="3" t="inlineStr">
        <is>
          <t>Urbania White</t>
        </is>
      </c>
      <c r="D5" s="3" t="inlineStr">
        <is>
          <t>Malla Lyndhurst</t>
        </is>
      </c>
      <c r="E5" s="3" t="inlineStr">
        <is>
          <t>Royal Walnut</t>
        </is>
      </c>
      <c r="F5" s="3" t="inlineStr">
        <is>
          <t>Pegavitro</t>
        </is>
      </c>
      <c r="G5" s="3" t="inlineStr">
        <is>
          <t>Unicrest</t>
        </is>
      </c>
    </row>
    <row r="6" ht="15" customHeight="1" s="26">
      <c r="A6" s="15" t="inlineStr">
        <is>
          <t>▶ Inicial (completo)</t>
        </is>
      </c>
      <c r="B6" s="16" t="n">
        <v>117</v>
      </c>
      <c r="C6" s="16" t="n">
        <v>8</v>
      </c>
      <c r="D6" s="16" t="n">
        <v>28</v>
      </c>
      <c r="E6" s="16" t="n">
        <v>41</v>
      </c>
      <c r="F6" s="16" t="n">
        <v>93</v>
      </c>
      <c r="G6" s="16" t="inlineStr">
        <is>
          <t>—</t>
        </is>
      </c>
    </row>
    <row r="7" ht="15" customHeight="1" s="26">
      <c r="A7" s="17" t="inlineStr">
        <is>
          <t>30/abr</t>
        </is>
      </c>
      <c r="B7" s="31" t="n">
        <v>110</v>
      </c>
      <c r="C7" s="31" t="n">
        <v>8</v>
      </c>
      <c r="D7" s="31" t="n">
        <v>28</v>
      </c>
      <c r="E7" s="31" t="n">
        <v>36</v>
      </c>
      <c r="F7" s="31" t="n">
        <v>84</v>
      </c>
      <c r="G7" s="31" t="inlineStr">
        <is>
          <t>—</t>
        </is>
      </c>
    </row>
    <row r="8" ht="15" customHeight="1" s="26">
      <c r="A8" s="18" t="inlineStr">
        <is>
          <t>01/may</t>
        </is>
      </c>
      <c r="B8" s="28" t="n">
        <v>110</v>
      </c>
      <c r="C8" s="28" t="n">
        <v>8</v>
      </c>
      <c r="D8" s="28" t="n">
        <v>28</v>
      </c>
      <c r="E8" s="28" t="n">
        <v>26</v>
      </c>
      <c r="F8" s="28" t="n">
        <v>74</v>
      </c>
      <c r="G8" s="28" t="inlineStr">
        <is>
          <t>—</t>
        </is>
      </c>
    </row>
    <row r="9" ht="15" customHeight="1" s="26">
      <c r="A9" s="17" t="inlineStr">
        <is>
          <t>02/may</t>
        </is>
      </c>
      <c r="B9" s="31" t="n">
        <v>110</v>
      </c>
      <c r="C9" s="31" t="n">
        <v>8</v>
      </c>
      <c r="D9" s="31" t="n">
        <v>28</v>
      </c>
      <c r="E9" s="31" t="n">
        <v>22</v>
      </c>
      <c r="F9" s="31" t="n">
        <v>69</v>
      </c>
      <c r="G9" s="31" t="inlineStr">
        <is>
          <t>—</t>
        </is>
      </c>
    </row>
    <row r="10" ht="15" customHeight="1" s="26">
      <c r="A10" s="18" t="inlineStr">
        <is>
          <t>05/may</t>
        </is>
      </c>
      <c r="B10" s="28" t="n">
        <v>105</v>
      </c>
      <c r="C10" s="28" t="n">
        <v>8</v>
      </c>
      <c r="D10" s="28" t="n">
        <v>28</v>
      </c>
      <c r="E10" s="28" t="n">
        <v>17</v>
      </c>
      <c r="F10" s="28" t="n">
        <v>59</v>
      </c>
      <c r="G10" s="28" t="inlineStr">
        <is>
          <t>—</t>
        </is>
      </c>
    </row>
    <row r="11" ht="15" customHeight="1" s="26">
      <c r="A11" s="17" t="inlineStr">
        <is>
          <t>06/may</t>
        </is>
      </c>
      <c r="B11" s="31" t="n">
        <v>105</v>
      </c>
      <c r="C11" s="31" t="n">
        <v>8</v>
      </c>
      <c r="D11" s="31" t="n">
        <v>28</v>
      </c>
      <c r="E11" s="31" t="n">
        <v>14</v>
      </c>
      <c r="F11" s="31" t="n">
        <v>55</v>
      </c>
      <c r="G11" s="31" t="inlineStr">
        <is>
          <t>—</t>
        </is>
      </c>
    </row>
    <row r="12" ht="15" customHeight="1" s="26">
      <c r="A12" s="18" t="inlineStr">
        <is>
          <t>07/may</t>
        </is>
      </c>
      <c r="B12" s="28" t="n">
        <v>100</v>
      </c>
      <c r="C12" s="28" t="n">
        <v>8</v>
      </c>
      <c r="D12" s="28" t="n">
        <v>28</v>
      </c>
      <c r="E12" s="28" t="n">
        <v>2</v>
      </c>
      <c r="F12" s="28" t="n">
        <v>45</v>
      </c>
      <c r="G12" s="28" t="n">
        <v>14</v>
      </c>
    </row>
    <row r="13" ht="15" customHeight="1" s="26">
      <c r="A13" s="17" t="inlineStr">
        <is>
          <t>08/may</t>
        </is>
      </c>
      <c r="B13" s="31" t="n">
        <v>99</v>
      </c>
      <c r="C13" s="31" t="n">
        <v>8</v>
      </c>
      <c r="D13" s="31" t="n">
        <v>28</v>
      </c>
      <c r="E13" s="31" t="n">
        <v>0</v>
      </c>
      <c r="F13" s="31" t="n">
        <v>41</v>
      </c>
      <c r="G13" s="31" t="n">
        <v>12</v>
      </c>
    </row>
    <row r="14" ht="15" customHeight="1" s="26">
      <c r="A14" s="18" t="inlineStr">
        <is>
          <t>11/may</t>
        </is>
      </c>
      <c r="B14" s="28" t="n">
        <v>94</v>
      </c>
      <c r="C14" s="28" t="n">
        <v>8</v>
      </c>
      <c r="D14" s="28" t="n">
        <v>28</v>
      </c>
      <c r="E14" s="28" t="n">
        <v>0</v>
      </c>
      <c r="F14" s="28" t="n">
        <v>41</v>
      </c>
      <c r="G14" s="28" t="n">
        <v>7</v>
      </c>
    </row>
    <row r="15" ht="15" customHeight="1" s="26">
      <c r="A15" s="17" t="inlineStr">
        <is>
          <t>13/may</t>
        </is>
      </c>
      <c r="B15" s="31" t="n">
        <v>89</v>
      </c>
      <c r="C15" s="31" t="n">
        <v>8</v>
      </c>
      <c r="D15" s="31" t="n">
        <v>28</v>
      </c>
      <c r="E15" s="31" t="n">
        <v>0</v>
      </c>
      <c r="F15" s="31" t="n">
        <v>36</v>
      </c>
      <c r="G15" s="31" t="n">
        <v>4</v>
      </c>
    </row>
    <row r="16" ht="15" customHeight="1" s="26">
      <c r="A16" s="18" t="inlineStr">
        <is>
          <t>15/may</t>
        </is>
      </c>
      <c r="B16" s="28" t="n">
        <v>82</v>
      </c>
      <c r="C16" s="28" t="n">
        <v>8</v>
      </c>
      <c r="D16" s="28" t="n">
        <v>28</v>
      </c>
      <c r="E16" s="28" t="n">
        <v>0</v>
      </c>
      <c r="F16" s="28" t="n">
        <v>34</v>
      </c>
      <c r="G16" s="28" t="n">
        <v>2</v>
      </c>
    </row>
    <row r="17" ht="15" customHeight="1" s="26">
      <c r="A17" s="17" t="inlineStr">
        <is>
          <t>19/may</t>
        </is>
      </c>
      <c r="B17" s="31" t="n">
        <v>79</v>
      </c>
      <c r="C17" s="31" t="n">
        <v>8</v>
      </c>
      <c r="D17" s="31" t="n">
        <v>28</v>
      </c>
      <c r="E17" s="31" t="n">
        <v>0</v>
      </c>
      <c r="F17" s="31" t="n">
        <v>34</v>
      </c>
      <c r="G17" s="31" t="n">
        <v>2</v>
      </c>
    </row>
    <row r="18" ht="15" customHeight="1" s="26">
      <c r="A18" s="18" t="inlineStr">
        <is>
          <t>20/may</t>
        </is>
      </c>
      <c r="B18" s="28" t="n">
        <v>79</v>
      </c>
      <c r="C18" s="28" t="n">
        <v>8</v>
      </c>
      <c r="D18" s="28" t="n">
        <v>28</v>
      </c>
      <c r="E18" s="28" t="n">
        <v>0</v>
      </c>
      <c r="F18" s="28" t="n">
        <v>30</v>
      </c>
      <c r="G18" s="28" t="n">
        <v>2</v>
      </c>
    </row>
    <row r="19" ht="15" customHeight="1" s="26">
      <c r="A19" s="17" t="inlineStr">
        <is>
          <t>22/may</t>
        </is>
      </c>
      <c r="B19" s="31" t="n">
        <v>55</v>
      </c>
      <c r="C19" s="31" t="n">
        <v>8</v>
      </c>
      <c r="D19" s="31" t="n">
        <v>28</v>
      </c>
      <c r="E19" s="31" t="n">
        <v>0</v>
      </c>
      <c r="F19" s="31" t="n">
        <v>10</v>
      </c>
      <c r="G19" s="31" t="n">
        <v>2</v>
      </c>
    </row>
    <row r="20" ht="15" customHeight="1" s="26">
      <c r="A20" s="19" t="inlineStr">
        <is>
          <t>★ Corte final (actual)</t>
        </is>
      </c>
      <c r="B20" s="20" t="n">
        <v>4</v>
      </c>
      <c r="C20" s="20" t="n">
        <v>0</v>
      </c>
      <c r="D20" s="20" t="n">
        <v>28</v>
      </c>
      <c r="E20" s="20" t="n">
        <v>0</v>
      </c>
      <c r="F20" s="20" t="n">
        <v>0</v>
      </c>
      <c r="G20" s="20" t="n">
        <v>0</v>
      </c>
    </row>
  </sheetData>
  <mergeCells count="2">
    <mergeCell ref="A3:G3"/>
    <mergeCell ref="A2:G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9"/>
  <sheetViews>
    <sheetView showGridLines="0" zoomScaleNormal="100" workbookViewId="0">
      <pane xSplit="1" ySplit="5" topLeftCell="B6" activePane="bottomRight" state="frozen"/>
      <selection pane="bottomLeft" activeCell="A6" sqref="A6"/>
      <selection pane="topRight" activeCell="B1" sqref="B1"/>
      <selection pane="bottomRight" activeCell="A1" sqref="A1"/>
    </sheetView>
  </sheetViews>
  <sheetFormatPr baseColWidth="8" defaultColWidth="8.7421875" defaultRowHeight="15"/>
  <cols>
    <col width="18.0234375" customWidth="1" style="26" min="1" max="1"/>
    <col width="16.0078125" customWidth="1" style="26" min="2" max="7"/>
  </cols>
  <sheetData>
    <row r="2" ht="30" customHeight="1" s="26">
      <c r="A2" s="38" t="inlineStr">
        <is>
          <t>HISTORIAL DE INVENTARIO — LOTE 9 MZA 7</t>
        </is>
      </c>
    </row>
    <row r="3" ht="19.5" customHeight="1" s="26">
      <c r="A3" s="37" t="inlineStr">
        <is>
          <t>De arriba (inicial / completo) hacia abajo (más reciente)</t>
        </is>
      </c>
    </row>
    <row r="5" ht="33.75" customHeight="1" s="26">
      <c r="A5" s="36" t="inlineStr">
        <is>
          <t>Fecha / Corte</t>
        </is>
      </c>
      <c r="B5" s="3" t="inlineStr">
        <is>
          <t>Piso Moret</t>
        </is>
      </c>
      <c r="C5" s="3" t="inlineStr">
        <is>
          <t>Urbania White</t>
        </is>
      </c>
      <c r="D5" s="3" t="inlineStr">
        <is>
          <t>Malla Lyndhurst</t>
        </is>
      </c>
      <c r="E5" s="3" t="inlineStr">
        <is>
          <t>Royal Walnut</t>
        </is>
      </c>
      <c r="F5" s="3" t="inlineStr">
        <is>
          <t>Pegavitro</t>
        </is>
      </c>
      <c r="G5" s="3" t="inlineStr">
        <is>
          <t>Fija Porcelánico</t>
        </is>
      </c>
    </row>
    <row r="6" ht="15" customHeight="1" s="26">
      <c r="A6" s="15" t="inlineStr">
        <is>
          <t>▶ Inicial (completo)</t>
        </is>
      </c>
      <c r="B6" s="16" t="n">
        <v>98</v>
      </c>
      <c r="C6" s="16" t="n">
        <v>8</v>
      </c>
      <c r="D6" s="16" t="n">
        <v>17</v>
      </c>
      <c r="E6" s="16" t="n">
        <v>37</v>
      </c>
      <c r="F6" s="16" t="n">
        <v>79</v>
      </c>
      <c r="G6" s="16" t="n">
        <v>39</v>
      </c>
    </row>
    <row r="7" ht="15" customHeight="1" s="26">
      <c r="A7" s="17" t="inlineStr">
        <is>
          <t>Corte 2</t>
        </is>
      </c>
      <c r="B7" s="31" t="n">
        <v>82</v>
      </c>
      <c r="C7" s="31" t="n">
        <v>8</v>
      </c>
      <c r="D7" s="31" t="n">
        <v>17</v>
      </c>
      <c r="E7" s="31" t="n">
        <v>0</v>
      </c>
      <c r="F7" s="31" t="n">
        <v>39</v>
      </c>
      <c r="G7" s="31" t="n">
        <v>19</v>
      </c>
    </row>
    <row r="8" ht="15" customHeight="1" s="26">
      <c r="A8" s="18" t="inlineStr">
        <is>
          <t>Corte 3</t>
        </is>
      </c>
      <c r="B8" s="28" t="n">
        <v>55</v>
      </c>
      <c r="C8" s="28" t="n">
        <v>8</v>
      </c>
      <c r="D8" s="28" t="n">
        <v>17</v>
      </c>
      <c r="E8" s="28" t="n">
        <v>0</v>
      </c>
      <c r="F8" s="28" t="n">
        <v>39</v>
      </c>
      <c r="G8" s="28" t="n">
        <v>11</v>
      </c>
    </row>
    <row r="9" ht="15" customHeight="1" s="26">
      <c r="A9" s="19" t="inlineStr">
        <is>
          <t>★ Actual (actual)</t>
        </is>
      </c>
      <c r="B9" s="20" t="n">
        <v>73</v>
      </c>
      <c r="C9" s="20" t="n">
        <v>8</v>
      </c>
      <c r="D9" s="20" t="n">
        <v>17</v>
      </c>
      <c r="E9" s="20" t="n">
        <v>0</v>
      </c>
      <c r="F9" s="20" t="n">
        <v>42</v>
      </c>
      <c r="G9" s="20" t="n">
        <v>5</v>
      </c>
    </row>
  </sheetData>
  <mergeCells count="2">
    <mergeCell ref="A3:G3"/>
    <mergeCell ref="A2:G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2026-06-06T02:55:18Z</dcterms:created>
  <dcterms:modified xsi:type="dcterms:W3CDTF">2026-06-27T19:46:38Z</dcterms:modified>
  <cp:revision>0</cp:revision>
</cp:coreProperties>
</file>