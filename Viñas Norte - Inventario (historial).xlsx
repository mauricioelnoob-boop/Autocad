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sumen" sheetId="1" state="visible" r:id="rId1"/>
    <sheet name="L10 M7" sheetId="2" state="visible" r:id="rId2"/>
    <sheet name="L9 M7" sheetId="3" state="visible" r:id="rId3"/>
    <sheet name="L34 M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EF3CF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CF3CF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2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RESUMEN DE INVENTARIO — SALDO POR LOTE</t>
        </is>
      </c>
    </row>
    <row r="3">
      <c r="A3" s="2" t="inlineStr">
        <is>
          <t>Lote</t>
        </is>
      </c>
      <c r="B3" s="2" t="inlineStr">
        <is>
          <t>Manzana</t>
        </is>
      </c>
      <c r="C3" s="2" t="inlineStr">
        <is>
          <t>Modelo</t>
        </is>
      </c>
      <c r="D3" s="2" t="inlineStr">
        <is>
          <t>Material</t>
        </is>
      </c>
      <c r="E3" s="2" t="inlineStr">
        <is>
          <t>Recibido</t>
        </is>
      </c>
      <c r="F3" s="2" t="inlineStr">
        <is>
          <t>Salidas</t>
        </is>
      </c>
      <c r="G3" s="2" t="inlineStr">
        <is>
          <t>Saldo</t>
        </is>
      </c>
      <c r="H3" s="2" t="inlineStr">
        <is>
          <t>Observaciones</t>
        </is>
      </c>
    </row>
    <row r="4">
      <c r="A4" s="3" t="inlineStr">
        <is>
          <t>L10</t>
        </is>
      </c>
      <c r="B4" s="3" t="inlineStr">
        <is>
          <t>M7</t>
        </is>
      </c>
      <c r="C4" s="3" t="inlineStr">
        <is>
          <t>Merlot</t>
        </is>
      </c>
      <c r="D4" s="4" t="inlineStr">
        <is>
          <t>Piso Moret Arena</t>
        </is>
      </c>
      <c r="E4" s="5">
        <f>'L10 M7'!C5</f>
        <v/>
      </c>
      <c r="F4" s="5">
        <f>'L10 M7'!D5</f>
        <v/>
      </c>
      <c r="G4" s="6">
        <f>'L10 M7'!E5</f>
        <v/>
      </c>
      <c r="H4" s="7" t="n"/>
    </row>
    <row r="5">
      <c r="A5" s="8" t="n"/>
      <c r="B5" s="8" t="n"/>
      <c r="C5" s="8" t="n"/>
      <c r="D5" s="4" t="inlineStr">
        <is>
          <t>Piso Royal Walnut</t>
        </is>
      </c>
      <c r="E5" s="5">
        <f>'L10 M7'!C6</f>
        <v/>
      </c>
      <c r="F5" s="5">
        <f>'L10 M7'!D6</f>
        <v/>
      </c>
      <c r="G5" s="6">
        <f>'L10 M7'!E6</f>
        <v/>
      </c>
      <c r="H5" s="7" t="n"/>
    </row>
    <row r="6">
      <c r="A6" s="8" t="n"/>
      <c r="B6" s="8" t="n"/>
      <c r="C6" s="8" t="n"/>
      <c r="D6" s="4" t="inlineStr">
        <is>
          <t>Urbania White</t>
        </is>
      </c>
      <c r="E6" s="5">
        <f>'L10 M7'!C7</f>
        <v/>
      </c>
      <c r="F6" s="5">
        <f>'L10 M7'!D7</f>
        <v/>
      </c>
      <c r="G6" s="6">
        <f>'L10 M7'!E7</f>
        <v/>
      </c>
      <c r="H6" s="7" t="n"/>
    </row>
    <row r="7">
      <c r="A7" s="9" t="n"/>
      <c r="B7" s="9" t="n"/>
      <c r="C7" s="9" t="n"/>
      <c r="D7" s="4" t="inlineStr">
        <is>
          <t>Malla Lyndhurst</t>
        </is>
      </c>
      <c r="E7" s="5">
        <f>'L10 M7'!C8</f>
        <v/>
      </c>
      <c r="F7" s="5">
        <f>'L10 M7'!D8</f>
        <v/>
      </c>
      <c r="G7" s="6">
        <f>'L10 M7'!E8</f>
        <v/>
      </c>
      <c r="H7" s="7" t="n"/>
    </row>
    <row r="9">
      <c r="A9" s="3" t="inlineStr">
        <is>
          <t>L9</t>
        </is>
      </c>
      <c r="B9" s="3" t="inlineStr">
        <is>
          <t>M7</t>
        </is>
      </c>
      <c r="C9" s="3" t="inlineStr">
        <is>
          <t>Merlot</t>
        </is>
      </c>
      <c r="D9" s="4" t="inlineStr">
        <is>
          <t>Piso Moret Arena</t>
        </is>
      </c>
      <c r="E9" s="5">
        <f>'L9 M7'!C5</f>
        <v/>
      </c>
      <c r="F9" s="5">
        <f>'L9 M7'!D5</f>
        <v/>
      </c>
      <c r="G9" s="6">
        <f>'L9 M7'!E5</f>
        <v/>
      </c>
      <c r="H9" s="7" t="n"/>
    </row>
    <row r="10">
      <c r="A10" s="8" t="n"/>
      <c r="B10" s="8" t="n"/>
      <c r="C10" s="8" t="n"/>
      <c r="D10" s="4" t="inlineStr">
        <is>
          <t>Piso Royal Walnut</t>
        </is>
      </c>
      <c r="E10" s="5">
        <f>'L9 M7'!C6</f>
        <v/>
      </c>
      <c r="F10" s="5">
        <f>'L9 M7'!D6</f>
        <v/>
      </c>
      <c r="G10" s="6">
        <f>'L9 M7'!E6</f>
        <v/>
      </c>
      <c r="H10" s="7" t="n"/>
    </row>
    <row r="11">
      <c r="A11" s="8" t="n"/>
      <c r="B11" s="8" t="n"/>
      <c r="C11" s="8" t="n"/>
      <c r="D11" s="4" t="inlineStr">
        <is>
          <t>Urbania White</t>
        </is>
      </c>
      <c r="E11" s="5">
        <f>'L9 M7'!C7</f>
        <v/>
      </c>
      <c r="F11" s="5">
        <f>'L9 M7'!D7</f>
        <v/>
      </c>
      <c r="G11" s="6">
        <f>'L9 M7'!E7</f>
        <v/>
      </c>
      <c r="H11" s="7" t="n"/>
    </row>
    <row r="12">
      <c r="A12" s="9" t="n"/>
      <c r="B12" s="9" t="n"/>
      <c r="C12" s="9" t="n"/>
      <c r="D12" s="4" t="inlineStr">
        <is>
          <t>Malla Lyndhurst</t>
        </is>
      </c>
      <c r="E12" s="5">
        <f>'L9 M7'!C8</f>
        <v/>
      </c>
      <c r="F12" s="5">
        <f>'L9 M7'!D8</f>
        <v/>
      </c>
      <c r="G12" s="6">
        <f>'L9 M7'!E8</f>
        <v/>
      </c>
      <c r="H12" s="7" t="n"/>
    </row>
    <row r="14">
      <c r="A14" s="3" t="inlineStr">
        <is>
          <t>L34</t>
        </is>
      </c>
      <c r="B14" s="3" t="inlineStr">
        <is>
          <t>M14</t>
        </is>
      </c>
      <c r="C14" s="3" t="inlineStr">
        <is>
          <t>Cabernet</t>
        </is>
      </c>
      <c r="D14" s="4" t="inlineStr">
        <is>
          <t>Piso Moret Arena</t>
        </is>
      </c>
      <c r="E14" s="5">
        <f>'L34 M14'!C5</f>
        <v/>
      </c>
      <c r="F14" s="5">
        <f>'L34 M14'!D5</f>
        <v/>
      </c>
      <c r="G14" s="6">
        <f>'L34 M14'!E5</f>
        <v/>
      </c>
      <c r="H14" s="7" t="n"/>
    </row>
    <row r="15">
      <c r="A15" s="8" t="n"/>
      <c r="B15" s="8" t="n"/>
      <c r="C15" s="8" t="n"/>
      <c r="D15" s="4" t="inlineStr">
        <is>
          <t>Piso Royal Walnut</t>
        </is>
      </c>
      <c r="E15" s="5">
        <f>'L34 M14'!C6</f>
        <v/>
      </c>
      <c r="F15" s="5">
        <f>'L34 M14'!D6</f>
        <v/>
      </c>
      <c r="G15" s="6">
        <f>'L34 M14'!E6</f>
        <v/>
      </c>
      <c r="H15" s="7" t="n"/>
    </row>
    <row r="16">
      <c r="A16" s="8" t="n"/>
      <c r="B16" s="8" t="n"/>
      <c r="C16" s="8" t="n"/>
      <c r="D16" s="4" t="inlineStr">
        <is>
          <t>Urbania White</t>
        </is>
      </c>
      <c r="E16" s="5">
        <f>'L34 M14'!C7</f>
        <v/>
      </c>
      <c r="F16" s="5">
        <f>'L34 M14'!D7</f>
        <v/>
      </c>
      <c r="G16" s="6">
        <f>'L34 M14'!E7</f>
        <v/>
      </c>
      <c r="H16" s="7" t="n"/>
    </row>
    <row r="17">
      <c r="A17" s="9" t="n"/>
      <c r="B17" s="9" t="n"/>
      <c r="C17" s="9" t="n"/>
      <c r="D17" s="4" t="inlineStr">
        <is>
          <t>Malla Lyndhurst</t>
        </is>
      </c>
      <c r="E17" s="5">
        <f>'L34 M14'!C8</f>
        <v/>
      </c>
      <c r="F17" s="5">
        <f>'L34 M14'!D8</f>
        <v/>
      </c>
      <c r="G17" s="6">
        <f>'L34 M14'!E8</f>
        <v/>
      </c>
      <c r="H17" s="7" t="n"/>
    </row>
  </sheetData>
  <mergeCells count="10">
    <mergeCell ref="C4:C7"/>
    <mergeCell ref="A4:A7"/>
    <mergeCell ref="B14:B17"/>
    <mergeCell ref="C14:C17"/>
    <mergeCell ref="C9:C12"/>
    <mergeCell ref="A9:A12"/>
    <mergeCell ref="B9:B12"/>
    <mergeCell ref="B4:B7"/>
    <mergeCell ref="A14:A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10, MANZANA 7 · MERLOT</t>
        </is>
      </c>
    </row>
    <row r="2">
      <c r="A2" s="10" t="inlineStr">
        <is>
          <t>LOTE ACTIVO (aun hay piso). Inicial Merlot; deduce salidas en la bitacora.</t>
        </is>
      </c>
    </row>
    <row r="3">
      <c r="A3" s="11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98</v>
      </c>
      <c r="D5" s="5">
        <f>SUMIF($B$12:$B$35,$A5,$C$12:$C$35)</f>
        <v/>
      </c>
      <c r="E5" s="6">
        <f>C5-D5</f>
        <v/>
      </c>
      <c r="F5" s="7" t="inlineStr">
        <is>
          <t>inicial 98</t>
        </is>
      </c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37</v>
      </c>
      <c r="D6" s="5">
        <f>SUMIF($B$12:$B$35,$A6,$C$12:$C$35)</f>
        <v/>
      </c>
      <c r="E6" s="6">
        <f>C6-D6</f>
        <v/>
      </c>
      <c r="F6" s="7" t="inlineStr">
        <is>
          <t>inicial 37</t>
        </is>
      </c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8</v>
      </c>
      <c r="D7" s="5">
        <f>SUMIF($B$12:$B$35,$A7,$C$12:$C$35)</f>
        <v/>
      </c>
      <c r="E7" s="6">
        <f>C7-D7</f>
        <v/>
      </c>
      <c r="F7" s="7" t="inlineStr">
        <is>
          <t>inicial 8</t>
        </is>
      </c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17</v>
      </c>
      <c r="D8" s="5">
        <f>SUMIF($B$12:$B$35,$A8,$C$12:$C$35)</f>
        <v/>
      </c>
      <c r="E8" s="6">
        <f>C8-D8</f>
        <v/>
      </c>
      <c r="F8" s="7" t="inlineStr">
        <is>
          <t>inicial 17</t>
        </is>
      </c>
    </row>
    <row r="10">
      <c r="A10" s="11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2" t="n"/>
      <c r="B13" s="12" t="n"/>
      <c r="C13" s="12" t="n"/>
      <c r="D13" s="12" t="n"/>
      <c r="E13" s="12" t="n"/>
    </row>
    <row r="14">
      <c r="A14" s="7" t="n"/>
      <c r="B14" s="7" t="n"/>
      <c r="C14" s="7" t="n"/>
      <c r="D14" s="7" t="n"/>
      <c r="E14" s="7" t="n"/>
    </row>
    <row r="15">
      <c r="A15" s="12" t="n"/>
      <c r="B15" s="12" t="n"/>
      <c r="C15" s="12" t="n"/>
      <c r="D15" s="12" t="n"/>
      <c r="E15" s="12" t="n"/>
    </row>
    <row r="16">
      <c r="A16" s="7" t="n"/>
      <c r="B16" s="7" t="n"/>
      <c r="C16" s="7" t="n"/>
      <c r="D16" s="7" t="n"/>
      <c r="E16" s="7" t="n"/>
    </row>
    <row r="17">
      <c r="A17" s="12" t="n"/>
      <c r="B17" s="12" t="n"/>
      <c r="C17" s="12" t="n"/>
      <c r="D17" s="12" t="n"/>
      <c r="E17" s="12" t="n"/>
    </row>
    <row r="18">
      <c r="A18" s="7" t="n"/>
      <c r="B18" s="7" t="n"/>
      <c r="C18" s="7" t="n"/>
      <c r="D18" s="7" t="n"/>
      <c r="E18" s="7" t="n"/>
    </row>
    <row r="19">
      <c r="A19" s="12" t="n"/>
      <c r="B19" s="12" t="n"/>
      <c r="C19" s="12" t="n"/>
      <c r="D19" s="12" t="n"/>
      <c r="E19" s="12" t="n"/>
    </row>
    <row r="20">
      <c r="A20" s="7" t="n"/>
      <c r="B20" s="7" t="n"/>
      <c r="C20" s="7" t="n"/>
      <c r="D20" s="7" t="n"/>
      <c r="E20" s="7" t="n"/>
    </row>
    <row r="21">
      <c r="A21" s="12" t="n"/>
      <c r="B21" s="12" t="n"/>
      <c r="C21" s="12" t="n"/>
      <c r="D21" s="12" t="n"/>
      <c r="E21" s="12" t="n"/>
    </row>
    <row r="22">
      <c r="A22" s="7" t="n"/>
      <c r="B22" s="7" t="n"/>
      <c r="C22" s="7" t="n"/>
      <c r="D22" s="7" t="n"/>
      <c r="E22" s="7" t="n"/>
    </row>
    <row r="23">
      <c r="A23" s="12" t="n"/>
      <c r="B23" s="12" t="n"/>
      <c r="C23" s="12" t="n"/>
      <c r="D23" s="12" t="n"/>
      <c r="E23" s="12" t="n"/>
    </row>
    <row r="24">
      <c r="A24" s="7" t="n"/>
      <c r="B24" s="7" t="n"/>
      <c r="C24" s="7" t="n"/>
      <c r="D24" s="7" t="n"/>
      <c r="E24" s="7" t="n"/>
    </row>
    <row r="25">
      <c r="A25" s="12" t="n"/>
      <c r="B25" s="12" t="n"/>
      <c r="C25" s="12" t="n"/>
      <c r="D25" s="12" t="n"/>
      <c r="E25" s="12" t="n"/>
    </row>
    <row r="26">
      <c r="A26" s="7" t="n"/>
      <c r="B26" s="7" t="n"/>
      <c r="C26" s="7" t="n"/>
      <c r="D26" s="7" t="n"/>
      <c r="E26" s="7" t="n"/>
    </row>
    <row r="27">
      <c r="A27" s="12" t="n"/>
      <c r="B27" s="12" t="n"/>
      <c r="C27" s="12" t="n"/>
      <c r="D27" s="12" t="n"/>
      <c r="E27" s="12" t="n"/>
    </row>
    <row r="28">
      <c r="A28" s="7" t="n"/>
      <c r="B28" s="7" t="n"/>
      <c r="C28" s="7" t="n"/>
      <c r="D28" s="7" t="n"/>
      <c r="E28" s="7" t="n"/>
    </row>
    <row r="29">
      <c r="A29" s="12" t="n"/>
      <c r="B29" s="12" t="n"/>
      <c r="C29" s="12" t="n"/>
      <c r="D29" s="12" t="n"/>
      <c r="E29" s="12" t="n"/>
    </row>
    <row r="30">
      <c r="A30" s="7" t="n"/>
      <c r="B30" s="7" t="n"/>
      <c r="C30" s="7" t="n"/>
      <c r="D30" s="7" t="n"/>
      <c r="E30" s="7" t="n"/>
    </row>
    <row r="31">
      <c r="A31" s="12" t="n"/>
      <c r="B31" s="12" t="n"/>
      <c r="C31" s="12" t="n"/>
      <c r="D31" s="12" t="n"/>
      <c r="E31" s="12" t="n"/>
    </row>
    <row r="32">
      <c r="A32" s="7" t="n"/>
      <c r="B32" s="7" t="n"/>
      <c r="C32" s="7" t="n"/>
      <c r="D32" s="7" t="n"/>
      <c r="E32" s="7" t="n"/>
    </row>
    <row r="33">
      <c r="A33" s="12" t="n"/>
      <c r="B33" s="12" t="n"/>
      <c r="C33" s="12" t="n"/>
      <c r="D33" s="12" t="n"/>
      <c r="E33" s="12" t="n"/>
    </row>
    <row r="34">
      <c r="A34" s="7" t="n"/>
      <c r="B34" s="7" t="n"/>
      <c r="C34" s="7" t="n"/>
      <c r="D34" s="7" t="n"/>
      <c r="E34" s="7" t="n"/>
    </row>
    <row r="35">
      <c r="A35" s="12" t="n"/>
      <c r="B35" s="12" t="n"/>
      <c r="C35" s="12" t="n"/>
      <c r="D35" s="12" t="n"/>
      <c r="E35" s="12" t="n"/>
    </row>
    <row r="37">
      <c r="A37" s="11" t="inlineStr">
        <is>
          <t>3) EXTRAS / COMPLEMENTOS</t>
        </is>
      </c>
    </row>
    <row r="38">
      <c r="A38" s="13" t="inlineStr">
        <is>
          <t>Material</t>
        </is>
      </c>
      <c r="B38" s="13" t="inlineStr">
        <is>
          <t>Presentación / color</t>
        </is>
      </c>
      <c r="C38" s="13" t="inlineStr">
        <is>
          <t>Cantidad</t>
        </is>
      </c>
      <c r="D38" s="13" t="inlineStr">
        <is>
          <t>Observaciones</t>
        </is>
      </c>
    </row>
    <row r="39">
      <c r="A39" s="14" t="inlineStr">
        <is>
          <t>Pegavitro blanco 20 kg</t>
        </is>
      </c>
      <c r="B39" s="14" t="inlineStr">
        <is>
          <t>adhesivo</t>
        </is>
      </c>
      <c r="C39" s="14" t="inlineStr"/>
      <c r="D39" s="14" t="n"/>
      <c r="E39" s="14" t="n"/>
      <c r="F39" s="14" t="n"/>
    </row>
    <row r="40">
      <c r="A40" s="14" t="inlineStr">
        <is>
          <t>Junta Crest cantera (Moret)</t>
        </is>
      </c>
      <c r="B40" s="14" t="inlineStr">
        <is>
          <t>boquilla</t>
        </is>
      </c>
      <c r="C40" s="14" t="inlineStr"/>
      <c r="D40" s="14" t="n"/>
      <c r="E40" s="14" t="n"/>
      <c r="F40" s="14" t="n"/>
    </row>
    <row r="41">
      <c r="A41" s="14" t="inlineStr">
        <is>
          <t>Junta Crest chocolate (Royal)</t>
        </is>
      </c>
      <c r="B41" s="14" t="inlineStr">
        <is>
          <t>boquilla</t>
        </is>
      </c>
      <c r="C41" s="14" t="inlineStr"/>
      <c r="D41" s="14" t="n"/>
      <c r="E41" s="14" t="n"/>
      <c r="F41" s="14" t="n"/>
    </row>
    <row r="42">
      <c r="A42" s="14" t="inlineStr">
        <is>
          <t>Junta Crest blanco (Urbania)</t>
        </is>
      </c>
      <c r="B42" s="14" t="inlineStr">
        <is>
          <t>boquilla</t>
        </is>
      </c>
      <c r="C42" s="14" t="inlineStr"/>
      <c r="D42" s="14" t="n"/>
      <c r="E42" s="14" t="n"/>
      <c r="F42" s="14" t="n"/>
    </row>
    <row r="43">
      <c r="A43" s="14" t="inlineStr">
        <is>
          <t>Junta Crest plata (Malla)</t>
        </is>
      </c>
      <c r="B43" s="14" t="inlineStr">
        <is>
          <t>boquilla</t>
        </is>
      </c>
      <c r="C43" s="14" t="inlineStr"/>
      <c r="D43" s="14" t="n"/>
      <c r="E43" s="14" t="n"/>
      <c r="F43" s="14" t="n"/>
    </row>
    <row r="44">
      <c r="A44" s="14" t="inlineStr"/>
      <c r="B44" s="14" t="n"/>
      <c r="C44" s="14" t="n"/>
      <c r="D44" s="14" t="n"/>
      <c r="E44" s="14" t="n"/>
      <c r="F44" s="14" t="n"/>
    </row>
    <row r="45">
      <c r="A45" s="14" t="inlineStr"/>
      <c r="B45" s="14" t="n"/>
      <c r="C45" s="14" t="n"/>
      <c r="D45" s="14" t="n"/>
      <c r="E45" s="14" t="n"/>
      <c r="F45" s="14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9, MANZANA 7 · MERLOT</t>
        </is>
      </c>
    </row>
    <row r="2">
      <c r="A2" s="10" t="inlineStr">
        <is>
          <t>Saldo al ultimo corte del historial. OJO: Moret salta 55-&gt;73, verificar conteo real.</t>
        </is>
      </c>
    </row>
    <row r="3">
      <c r="A3" s="11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73</v>
      </c>
      <c r="D5" s="5">
        <f>SUMIF($B$12:$B$35,$A5,$C$12:$C$35)</f>
        <v/>
      </c>
      <c r="E5" s="6">
        <f>C5-D5</f>
        <v/>
      </c>
      <c r="F5" s="7" t="inlineStr">
        <is>
          <t>inicial 98</t>
        </is>
      </c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0</v>
      </c>
      <c r="D6" s="5">
        <f>SUMIF($B$12:$B$35,$A6,$C$12:$C$35)</f>
        <v/>
      </c>
      <c r="E6" s="6">
        <f>C6-D6</f>
        <v/>
      </c>
      <c r="F6" s="7" t="inlineStr">
        <is>
          <t>inicial 37</t>
        </is>
      </c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8</v>
      </c>
      <c r="D7" s="5">
        <f>SUMIF($B$12:$B$35,$A7,$C$12:$C$35)</f>
        <v/>
      </c>
      <c r="E7" s="6">
        <f>C7-D7</f>
        <v/>
      </c>
      <c r="F7" s="7" t="inlineStr">
        <is>
          <t>inicial 8</t>
        </is>
      </c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17</v>
      </c>
      <c r="D8" s="5">
        <f>SUMIF($B$12:$B$35,$A8,$C$12:$C$35)</f>
        <v/>
      </c>
      <c r="E8" s="6">
        <f>C8-D8</f>
        <v/>
      </c>
      <c r="F8" s="7" t="inlineStr">
        <is>
          <t>inicial 17</t>
        </is>
      </c>
    </row>
    <row r="10">
      <c r="A10" s="11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2" t="n"/>
      <c r="B13" s="12" t="n"/>
      <c r="C13" s="12" t="n"/>
      <c r="D13" s="12" t="n"/>
      <c r="E13" s="12" t="n"/>
    </row>
    <row r="14">
      <c r="A14" s="7" t="n"/>
      <c r="B14" s="7" t="n"/>
      <c r="C14" s="7" t="n"/>
      <c r="D14" s="7" t="n"/>
      <c r="E14" s="7" t="n"/>
    </row>
    <row r="15">
      <c r="A15" s="12" t="n"/>
      <c r="B15" s="12" t="n"/>
      <c r="C15" s="12" t="n"/>
      <c r="D15" s="12" t="n"/>
      <c r="E15" s="12" t="n"/>
    </row>
    <row r="16">
      <c r="A16" s="7" t="n"/>
      <c r="B16" s="7" t="n"/>
      <c r="C16" s="7" t="n"/>
      <c r="D16" s="7" t="n"/>
      <c r="E16" s="7" t="n"/>
    </row>
    <row r="17">
      <c r="A17" s="12" t="n"/>
      <c r="B17" s="12" t="n"/>
      <c r="C17" s="12" t="n"/>
      <c r="D17" s="12" t="n"/>
      <c r="E17" s="12" t="n"/>
    </row>
    <row r="18">
      <c r="A18" s="7" t="n"/>
      <c r="B18" s="7" t="n"/>
      <c r="C18" s="7" t="n"/>
      <c r="D18" s="7" t="n"/>
      <c r="E18" s="7" t="n"/>
    </row>
    <row r="19">
      <c r="A19" s="12" t="n"/>
      <c r="B19" s="12" t="n"/>
      <c r="C19" s="12" t="n"/>
      <c r="D19" s="12" t="n"/>
      <c r="E19" s="12" t="n"/>
    </row>
    <row r="20">
      <c r="A20" s="7" t="n"/>
      <c r="B20" s="7" t="n"/>
      <c r="C20" s="7" t="n"/>
      <c r="D20" s="7" t="n"/>
      <c r="E20" s="7" t="n"/>
    </row>
    <row r="21">
      <c r="A21" s="12" t="n"/>
      <c r="B21" s="12" t="n"/>
      <c r="C21" s="12" t="n"/>
      <c r="D21" s="12" t="n"/>
      <c r="E21" s="12" t="n"/>
    </row>
    <row r="22">
      <c r="A22" s="7" t="n"/>
      <c r="B22" s="7" t="n"/>
      <c r="C22" s="7" t="n"/>
      <c r="D22" s="7" t="n"/>
      <c r="E22" s="7" t="n"/>
    </row>
    <row r="23">
      <c r="A23" s="12" t="n"/>
      <c r="B23" s="12" t="n"/>
      <c r="C23" s="12" t="n"/>
      <c r="D23" s="12" t="n"/>
      <c r="E23" s="12" t="n"/>
    </row>
    <row r="24">
      <c r="A24" s="7" t="n"/>
      <c r="B24" s="7" t="n"/>
      <c r="C24" s="7" t="n"/>
      <c r="D24" s="7" t="n"/>
      <c r="E24" s="7" t="n"/>
    </row>
    <row r="25">
      <c r="A25" s="12" t="n"/>
      <c r="B25" s="12" t="n"/>
      <c r="C25" s="12" t="n"/>
      <c r="D25" s="12" t="n"/>
      <c r="E25" s="12" t="n"/>
    </row>
    <row r="26">
      <c r="A26" s="7" t="n"/>
      <c r="B26" s="7" t="n"/>
      <c r="C26" s="7" t="n"/>
      <c r="D26" s="7" t="n"/>
      <c r="E26" s="7" t="n"/>
    </row>
    <row r="27">
      <c r="A27" s="12" t="n"/>
      <c r="B27" s="12" t="n"/>
      <c r="C27" s="12" t="n"/>
      <c r="D27" s="12" t="n"/>
      <c r="E27" s="12" t="n"/>
    </row>
    <row r="28">
      <c r="A28" s="7" t="n"/>
      <c r="B28" s="7" t="n"/>
      <c r="C28" s="7" t="n"/>
      <c r="D28" s="7" t="n"/>
      <c r="E28" s="7" t="n"/>
    </row>
    <row r="29">
      <c r="A29" s="12" t="n"/>
      <c r="B29" s="12" t="n"/>
      <c r="C29" s="12" t="n"/>
      <c r="D29" s="12" t="n"/>
      <c r="E29" s="12" t="n"/>
    </row>
    <row r="30">
      <c r="A30" s="7" t="n"/>
      <c r="B30" s="7" t="n"/>
      <c r="C30" s="7" t="n"/>
      <c r="D30" s="7" t="n"/>
      <c r="E30" s="7" t="n"/>
    </row>
    <row r="31">
      <c r="A31" s="12" t="n"/>
      <c r="B31" s="12" t="n"/>
      <c r="C31" s="12" t="n"/>
      <c r="D31" s="12" t="n"/>
      <c r="E31" s="12" t="n"/>
    </row>
    <row r="32">
      <c r="A32" s="7" t="n"/>
      <c r="B32" s="7" t="n"/>
      <c r="C32" s="7" t="n"/>
      <c r="D32" s="7" t="n"/>
      <c r="E32" s="7" t="n"/>
    </row>
    <row r="33">
      <c r="A33" s="12" t="n"/>
      <c r="B33" s="12" t="n"/>
      <c r="C33" s="12" t="n"/>
      <c r="D33" s="12" t="n"/>
      <c r="E33" s="12" t="n"/>
    </row>
    <row r="34">
      <c r="A34" s="7" t="n"/>
      <c r="B34" s="7" t="n"/>
      <c r="C34" s="7" t="n"/>
      <c r="D34" s="7" t="n"/>
      <c r="E34" s="7" t="n"/>
    </row>
    <row r="35">
      <c r="A35" s="12" t="n"/>
      <c r="B35" s="12" t="n"/>
      <c r="C35" s="12" t="n"/>
      <c r="D35" s="12" t="n"/>
      <c r="E35" s="12" t="n"/>
    </row>
    <row r="37">
      <c r="A37" s="11" t="inlineStr">
        <is>
          <t>3) EXTRAS / COMPLEMENTOS</t>
        </is>
      </c>
    </row>
    <row r="38">
      <c r="A38" s="13" t="inlineStr">
        <is>
          <t>Material</t>
        </is>
      </c>
      <c r="B38" s="13" t="inlineStr">
        <is>
          <t>Presentación / color</t>
        </is>
      </c>
      <c r="C38" s="13" t="inlineStr">
        <is>
          <t>Cantidad</t>
        </is>
      </c>
      <c r="D38" s="13" t="inlineStr">
        <is>
          <t>Observaciones</t>
        </is>
      </c>
    </row>
    <row r="39">
      <c r="A39" s="14" t="inlineStr">
        <is>
          <t>Pegavitro blanco 20 kg</t>
        </is>
      </c>
      <c r="B39" s="14" t="inlineStr">
        <is>
          <t>adhesivo</t>
        </is>
      </c>
      <c r="C39" s="14" t="inlineStr">
        <is>
          <t>42</t>
        </is>
      </c>
      <c r="D39" s="14" t="n"/>
      <c r="E39" s="14" t="n"/>
      <c r="F39" s="14" t="n"/>
    </row>
    <row r="40">
      <c r="A40" s="14" t="inlineStr">
        <is>
          <t>Fija porcelanico blanco 20 kg</t>
        </is>
      </c>
      <c r="B40" s="14" t="inlineStr">
        <is>
          <t>adhesivo</t>
        </is>
      </c>
      <c r="C40" s="14" t="inlineStr">
        <is>
          <t>5</t>
        </is>
      </c>
      <c r="D40" s="14" t="n"/>
      <c r="E40" s="14" t="n"/>
      <c r="F40" s="14" t="n"/>
    </row>
    <row r="41">
      <c r="A41" s="14" t="inlineStr">
        <is>
          <t>Junta Crest plata</t>
        </is>
      </c>
      <c r="B41" s="14" t="inlineStr">
        <is>
          <t>boquilla</t>
        </is>
      </c>
      <c r="C41" s="14" t="inlineStr">
        <is>
          <t>2</t>
        </is>
      </c>
      <c r="D41" s="14" t="n"/>
      <c r="E41" s="14" t="n"/>
      <c r="F41" s="14" t="n"/>
    </row>
    <row r="42">
      <c r="A42" s="14" t="inlineStr">
        <is>
          <t>Junta Crest blanco</t>
        </is>
      </c>
      <c r="B42" s="14" t="inlineStr">
        <is>
          <t>boquilla</t>
        </is>
      </c>
      <c r="C42" s="14" t="inlineStr">
        <is>
          <t>2</t>
        </is>
      </c>
      <c r="D42" s="14" t="n"/>
      <c r="E42" s="14" t="n"/>
      <c r="F42" s="14" t="n"/>
    </row>
    <row r="43">
      <c r="A43" s="14" t="inlineStr">
        <is>
          <t>Junta Crest cantera</t>
        </is>
      </c>
      <c r="B43" s="14" t="inlineStr">
        <is>
          <t>boquilla</t>
        </is>
      </c>
      <c r="C43" s="14" t="inlineStr">
        <is>
          <t>0.5</t>
        </is>
      </c>
      <c r="D43" s="14" t="n"/>
      <c r="E43" s="14" t="n"/>
      <c r="F43" s="14" t="n"/>
    </row>
    <row r="44">
      <c r="A44" s="14" t="inlineStr">
        <is>
          <t>Junta Crest chocolate</t>
        </is>
      </c>
      <c r="B44" s="14" t="inlineStr">
        <is>
          <t>boquilla</t>
        </is>
      </c>
      <c r="C44" s="14" t="inlineStr">
        <is>
          <t>0.5</t>
        </is>
      </c>
      <c r="D44" s="14" t="n"/>
      <c r="E44" s="14" t="n"/>
      <c r="F44" s="14" t="n"/>
    </row>
    <row r="45">
      <c r="A45" s="14" t="inlineStr">
        <is>
          <t>BlueFence impermeabilizante charolas 20 lt</t>
        </is>
      </c>
      <c r="B45" s="14" t="inlineStr">
        <is>
          <t>imperm.</t>
        </is>
      </c>
      <c r="C45" s="14" t="inlineStr">
        <is>
          <t>1</t>
        </is>
      </c>
      <c r="D45" s="14" t="n"/>
      <c r="E45" s="14" t="n"/>
      <c r="F45" s="14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34, MANZANA 14 · CABERNET</t>
        </is>
      </c>
    </row>
    <row r="2">
      <c r="A2" s="10" t="inlineStr">
        <is>
          <t>Saldo al ultimo corte del historial (casi agotado).</t>
        </is>
      </c>
    </row>
    <row r="3">
      <c r="A3" s="11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4</v>
      </c>
      <c r="D5" s="5">
        <f>SUMIF($B$12:$B$35,$A5,$C$12:$C$35)</f>
        <v/>
      </c>
      <c r="E5" s="6">
        <f>C5-D5</f>
        <v/>
      </c>
      <c r="F5" s="7" t="inlineStr">
        <is>
          <t>inicial 117</t>
        </is>
      </c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0</v>
      </c>
      <c r="D6" s="5">
        <f>SUMIF($B$12:$B$35,$A6,$C$12:$C$35)</f>
        <v/>
      </c>
      <c r="E6" s="6">
        <f>C6-D6</f>
        <v/>
      </c>
      <c r="F6" s="7" t="inlineStr">
        <is>
          <t>inicial 41</t>
        </is>
      </c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0</v>
      </c>
      <c r="D7" s="5">
        <f>SUMIF($B$12:$B$35,$A7,$C$12:$C$35)</f>
        <v/>
      </c>
      <c r="E7" s="6">
        <f>C7-D7</f>
        <v/>
      </c>
      <c r="F7" s="7" t="inlineStr">
        <is>
          <t>inicial 8</t>
        </is>
      </c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28</v>
      </c>
      <c r="D8" s="5">
        <f>SUMIF($B$12:$B$35,$A8,$C$12:$C$35)</f>
        <v/>
      </c>
      <c r="E8" s="6">
        <f>C8-D8</f>
        <v/>
      </c>
      <c r="F8" s="7" t="inlineStr">
        <is>
          <t>inicial 28</t>
        </is>
      </c>
    </row>
    <row r="10">
      <c r="A10" s="11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2" t="n"/>
      <c r="B13" s="12" t="n"/>
      <c r="C13" s="12" t="n"/>
      <c r="D13" s="12" t="n"/>
      <c r="E13" s="12" t="n"/>
    </row>
    <row r="14">
      <c r="A14" s="7" t="n"/>
      <c r="B14" s="7" t="n"/>
      <c r="C14" s="7" t="n"/>
      <c r="D14" s="7" t="n"/>
      <c r="E14" s="7" t="n"/>
    </row>
    <row r="15">
      <c r="A15" s="12" t="n"/>
      <c r="B15" s="12" t="n"/>
      <c r="C15" s="12" t="n"/>
      <c r="D15" s="12" t="n"/>
      <c r="E15" s="12" t="n"/>
    </row>
    <row r="16">
      <c r="A16" s="7" t="n"/>
      <c r="B16" s="7" t="n"/>
      <c r="C16" s="7" t="n"/>
      <c r="D16" s="7" t="n"/>
      <c r="E16" s="7" t="n"/>
    </row>
    <row r="17">
      <c r="A17" s="12" t="n"/>
      <c r="B17" s="12" t="n"/>
      <c r="C17" s="12" t="n"/>
      <c r="D17" s="12" t="n"/>
      <c r="E17" s="12" t="n"/>
    </row>
    <row r="18">
      <c r="A18" s="7" t="n"/>
      <c r="B18" s="7" t="n"/>
      <c r="C18" s="7" t="n"/>
      <c r="D18" s="7" t="n"/>
      <c r="E18" s="7" t="n"/>
    </row>
    <row r="19">
      <c r="A19" s="12" t="n"/>
      <c r="B19" s="12" t="n"/>
      <c r="C19" s="12" t="n"/>
      <c r="D19" s="12" t="n"/>
      <c r="E19" s="12" t="n"/>
    </row>
    <row r="20">
      <c r="A20" s="7" t="n"/>
      <c r="B20" s="7" t="n"/>
      <c r="C20" s="7" t="n"/>
      <c r="D20" s="7" t="n"/>
      <c r="E20" s="7" t="n"/>
    </row>
    <row r="21">
      <c r="A21" s="12" t="n"/>
      <c r="B21" s="12" t="n"/>
      <c r="C21" s="12" t="n"/>
      <c r="D21" s="12" t="n"/>
      <c r="E21" s="12" t="n"/>
    </row>
    <row r="22">
      <c r="A22" s="7" t="n"/>
      <c r="B22" s="7" t="n"/>
      <c r="C22" s="7" t="n"/>
      <c r="D22" s="7" t="n"/>
      <c r="E22" s="7" t="n"/>
    </row>
    <row r="23">
      <c r="A23" s="12" t="n"/>
      <c r="B23" s="12" t="n"/>
      <c r="C23" s="12" t="n"/>
      <c r="D23" s="12" t="n"/>
      <c r="E23" s="12" t="n"/>
    </row>
    <row r="24">
      <c r="A24" s="7" t="n"/>
      <c r="B24" s="7" t="n"/>
      <c r="C24" s="7" t="n"/>
      <c r="D24" s="7" t="n"/>
      <c r="E24" s="7" t="n"/>
    </row>
    <row r="25">
      <c r="A25" s="12" t="n"/>
      <c r="B25" s="12" t="n"/>
      <c r="C25" s="12" t="n"/>
      <c r="D25" s="12" t="n"/>
      <c r="E25" s="12" t="n"/>
    </row>
    <row r="26">
      <c r="A26" s="7" t="n"/>
      <c r="B26" s="7" t="n"/>
      <c r="C26" s="7" t="n"/>
      <c r="D26" s="7" t="n"/>
      <c r="E26" s="7" t="n"/>
    </row>
    <row r="27">
      <c r="A27" s="12" t="n"/>
      <c r="B27" s="12" t="n"/>
      <c r="C27" s="12" t="n"/>
      <c r="D27" s="12" t="n"/>
      <c r="E27" s="12" t="n"/>
    </row>
    <row r="28">
      <c r="A28" s="7" t="n"/>
      <c r="B28" s="7" t="n"/>
      <c r="C28" s="7" t="n"/>
      <c r="D28" s="7" t="n"/>
      <c r="E28" s="7" t="n"/>
    </row>
    <row r="29">
      <c r="A29" s="12" t="n"/>
      <c r="B29" s="12" t="n"/>
      <c r="C29" s="12" t="n"/>
      <c r="D29" s="12" t="n"/>
      <c r="E29" s="12" t="n"/>
    </row>
    <row r="30">
      <c r="A30" s="7" t="n"/>
      <c r="B30" s="7" t="n"/>
      <c r="C30" s="7" t="n"/>
      <c r="D30" s="7" t="n"/>
      <c r="E30" s="7" t="n"/>
    </row>
    <row r="31">
      <c r="A31" s="12" t="n"/>
      <c r="B31" s="12" t="n"/>
      <c r="C31" s="12" t="n"/>
      <c r="D31" s="12" t="n"/>
      <c r="E31" s="12" t="n"/>
    </row>
    <row r="32">
      <c r="A32" s="7" t="n"/>
      <c r="B32" s="7" t="n"/>
      <c r="C32" s="7" t="n"/>
      <c r="D32" s="7" t="n"/>
      <c r="E32" s="7" t="n"/>
    </row>
    <row r="33">
      <c r="A33" s="12" t="n"/>
      <c r="B33" s="12" t="n"/>
      <c r="C33" s="12" t="n"/>
      <c r="D33" s="12" t="n"/>
      <c r="E33" s="12" t="n"/>
    </row>
    <row r="34">
      <c r="A34" s="7" t="n"/>
      <c r="B34" s="7" t="n"/>
      <c r="C34" s="7" t="n"/>
      <c r="D34" s="7" t="n"/>
      <c r="E34" s="7" t="n"/>
    </row>
    <row r="35">
      <c r="A35" s="12" t="n"/>
      <c r="B35" s="12" t="n"/>
      <c r="C35" s="12" t="n"/>
      <c r="D35" s="12" t="n"/>
      <c r="E35" s="12" t="n"/>
    </row>
    <row r="37">
      <c r="A37" s="11" t="inlineStr">
        <is>
          <t>3) EXTRAS / COMPLEMENTOS</t>
        </is>
      </c>
    </row>
    <row r="38">
      <c r="A38" s="13" t="inlineStr">
        <is>
          <t>Material</t>
        </is>
      </c>
      <c r="B38" s="13" t="inlineStr">
        <is>
          <t>Presentación / color</t>
        </is>
      </c>
      <c r="C38" s="13" t="inlineStr">
        <is>
          <t>Cantidad</t>
        </is>
      </c>
      <c r="D38" s="13" t="inlineStr">
        <is>
          <t>Observaciones</t>
        </is>
      </c>
    </row>
    <row r="39">
      <c r="A39" s="14" t="inlineStr">
        <is>
          <t>Pegavitro blanco 20 kg</t>
        </is>
      </c>
      <c r="B39" s="14" t="inlineStr">
        <is>
          <t>adhesivo</t>
        </is>
      </c>
      <c r="C39" s="14" t="inlineStr">
        <is>
          <t>0</t>
        </is>
      </c>
      <c r="D39" s="14" t="n"/>
      <c r="E39" s="14" t="n"/>
      <c r="F39" s="14" t="n"/>
    </row>
    <row r="40">
      <c r="A40" s="14" t="inlineStr">
        <is>
          <t>Unicrest 20 kg</t>
        </is>
      </c>
      <c r="B40" s="14" t="inlineStr">
        <is>
          <t>adhesivo</t>
        </is>
      </c>
      <c r="C40" s="14" t="inlineStr">
        <is>
          <t>0</t>
        </is>
      </c>
      <c r="D40" s="14" t="n"/>
      <c r="E40" s="14" t="n"/>
      <c r="F40" s="14" t="n"/>
    </row>
    <row r="41">
      <c r="A41" s="14" t="inlineStr">
        <is>
          <t>Junta Crest cantera</t>
        </is>
      </c>
      <c r="B41" s="14" t="inlineStr">
        <is>
          <t>boquilla</t>
        </is>
      </c>
      <c r="C41" s="14" t="inlineStr">
        <is>
          <t>2</t>
        </is>
      </c>
      <c r="D41" s="14" t="n"/>
      <c r="E41" s="14" t="n"/>
      <c r="F41" s="14" t="n"/>
    </row>
    <row r="42">
      <c r="A42" s="14" t="inlineStr">
        <is>
          <t>Junta Crest chocolate</t>
        </is>
      </c>
      <c r="B42" s="14" t="inlineStr">
        <is>
          <t>boquilla</t>
        </is>
      </c>
      <c r="C42" s="14" t="inlineStr">
        <is>
          <t>2</t>
        </is>
      </c>
      <c r="D42" s="14" t="n"/>
      <c r="E42" s="14" t="n"/>
      <c r="F42" s="14" t="n"/>
    </row>
    <row r="43">
      <c r="A43" s="14" t="inlineStr">
        <is>
          <t>Junta Crest blanco</t>
        </is>
      </c>
      <c r="B43" s="14" t="inlineStr">
        <is>
          <t>boquilla</t>
        </is>
      </c>
      <c r="C43" s="14" t="inlineStr">
        <is>
          <t>2</t>
        </is>
      </c>
      <c r="D43" s="14" t="n"/>
      <c r="E43" s="14" t="n"/>
      <c r="F43" s="14" t="n"/>
    </row>
    <row r="44">
      <c r="A44" s="14" t="inlineStr">
        <is>
          <t>Junta Crest plata</t>
        </is>
      </c>
      <c r="B44" s="14" t="inlineStr">
        <is>
          <t>boquilla</t>
        </is>
      </c>
      <c r="C44" s="14" t="inlineStr">
        <is>
          <t>2</t>
        </is>
      </c>
      <c r="D44" s="14" t="n"/>
      <c r="E44" s="14" t="n"/>
      <c r="F44" s="14" t="n"/>
    </row>
    <row r="45">
      <c r="A45" s="14" t="inlineStr"/>
      <c r="B45" s="14" t="n"/>
      <c r="C45" s="14" t="n"/>
      <c r="D45" s="14" t="n"/>
      <c r="E45" s="14" t="n"/>
      <c r="F45" s="14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2026-06-27T19:29:53Z</dcterms:created>
  <dcterms:modified xsi:type="dcterms:W3CDTF">2026-06-27T19:29:53Z</dcterms:modified>
</cp:coreProperties>
</file>