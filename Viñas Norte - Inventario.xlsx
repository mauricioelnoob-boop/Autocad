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L34 M14" sheetId="2" state="visible" r:id="rId2"/>
    <sheet name="L9 M7" sheetId="3" state="visible" r:id="rId3"/>
    <sheet name="L10 M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EF3CF"/>
      </patternFill>
    </fill>
    <fill>
      <patternFill patternType="solid">
        <fgColor rgb="00E8F5E9"/>
      </patternFill>
    </fill>
    <fill>
      <patternFill patternType="solid">
        <fgColor rgb="00D6E4F0"/>
      </patternFill>
    </fill>
    <fill>
      <patternFill patternType="solid">
        <fgColor rgb="00FCF3CF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/>
      <top/>
      <bottom/>
      <diagonal/>
    </border>
    <border>
      <left style="thin">
        <color rgb="00BBBBBB"/>
      </left>
      <right style="thin">
        <color rgb="00BBBBBB"/>
      </right>
      <top/>
      <bottom/>
      <diagonal/>
    </border>
    <border>
      <left style="thin">
        <color rgb="00BBBBBB"/>
      </left>
      <right style="thin">
        <color rgb="00BBBBBB"/>
      </right>
      <top/>
      <bottom style="thin">
        <color rgb="00BBBBB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2" fillId="0" borderId="0" pivotButton="0" quotePrefix="0" xfId="0"/>
    <xf numFmtId="0" fontId="0" fillId="4" borderId="1" pivotButton="0" quotePrefix="0" xfId="0"/>
    <xf numFmtId="0" fontId="2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3" customWidth="1" min="3" max="3"/>
    <col width="22" customWidth="1" min="4" max="4"/>
    <col width="12" customWidth="1" min="5" max="5"/>
    <col width="12" customWidth="1" min="6" max="6"/>
    <col width="12" customWidth="1" min="7" max="7"/>
    <col width="24" customWidth="1" min="8" max="8"/>
  </cols>
  <sheetData>
    <row r="1">
      <c r="A1" s="1" t="inlineStr">
        <is>
          <t>RESUMEN DE INVENTARIO — SALDO POR LOTE</t>
        </is>
      </c>
    </row>
    <row r="3">
      <c r="A3" s="2" t="inlineStr">
        <is>
          <t>Lote</t>
        </is>
      </c>
      <c r="B3" s="2" t="inlineStr">
        <is>
          <t>Manzana</t>
        </is>
      </c>
      <c r="C3" s="2" t="inlineStr">
        <is>
          <t>Modelo</t>
        </is>
      </c>
      <c r="D3" s="2" t="inlineStr">
        <is>
          <t>Material</t>
        </is>
      </c>
      <c r="E3" s="2" t="inlineStr">
        <is>
          <t>Recibido</t>
        </is>
      </c>
      <c r="F3" s="2" t="inlineStr">
        <is>
          <t>Salidas</t>
        </is>
      </c>
      <c r="G3" s="2" t="inlineStr">
        <is>
          <t>Saldo</t>
        </is>
      </c>
      <c r="H3" s="2" t="inlineStr">
        <is>
          <t>Observaciones</t>
        </is>
      </c>
    </row>
    <row r="4">
      <c r="A4" s="3" t="inlineStr">
        <is>
          <t>L34</t>
        </is>
      </c>
      <c r="B4" s="3" t="inlineStr">
        <is>
          <t>M14</t>
        </is>
      </c>
      <c r="C4" s="3" t="inlineStr">
        <is>
          <t>Cabernet</t>
        </is>
      </c>
      <c r="D4" s="4" t="inlineStr">
        <is>
          <t>Piso Moret Arena</t>
        </is>
      </c>
      <c r="E4" s="5">
        <f>'L34 M14'!C5</f>
        <v/>
      </c>
      <c r="F4" s="5">
        <f>'L34 M14'!D5</f>
        <v/>
      </c>
      <c r="G4" s="6">
        <f>'L34 M14'!E5</f>
        <v/>
      </c>
      <c r="H4" s="7" t="n"/>
    </row>
    <row r="5">
      <c r="A5" s="8" t="n"/>
      <c r="B5" s="8" t="n"/>
      <c r="C5" s="8" t="n"/>
      <c r="D5" s="4" t="inlineStr">
        <is>
          <t>Piso Royal Walnut</t>
        </is>
      </c>
      <c r="E5" s="5">
        <f>'L34 M14'!C6</f>
        <v/>
      </c>
      <c r="F5" s="5">
        <f>'L34 M14'!D6</f>
        <v/>
      </c>
      <c r="G5" s="6">
        <f>'L34 M14'!E6</f>
        <v/>
      </c>
      <c r="H5" s="7" t="n"/>
    </row>
    <row r="6">
      <c r="A6" s="8" t="n"/>
      <c r="B6" s="8" t="n"/>
      <c r="C6" s="8" t="n"/>
      <c r="D6" s="4" t="inlineStr">
        <is>
          <t>Urbania White</t>
        </is>
      </c>
      <c r="E6" s="5">
        <f>'L34 M14'!C7</f>
        <v/>
      </c>
      <c r="F6" s="5">
        <f>'L34 M14'!D7</f>
        <v/>
      </c>
      <c r="G6" s="6">
        <f>'L34 M14'!E7</f>
        <v/>
      </c>
      <c r="H6" s="7" t="n"/>
    </row>
    <row r="7">
      <c r="A7" s="9" t="n"/>
      <c r="B7" s="9" t="n"/>
      <c r="C7" s="9" t="n"/>
      <c r="D7" s="4" t="inlineStr">
        <is>
          <t>Malla Lyndhurst</t>
        </is>
      </c>
      <c r="E7" s="5">
        <f>'L34 M14'!C8</f>
        <v/>
      </c>
      <c r="F7" s="5">
        <f>'L34 M14'!D8</f>
        <v/>
      </c>
      <c r="G7" s="6">
        <f>'L34 M14'!E8</f>
        <v/>
      </c>
      <c r="H7" s="7" t="n"/>
    </row>
    <row r="9">
      <c r="A9" s="3" t="inlineStr">
        <is>
          <t>L9</t>
        </is>
      </c>
      <c r="B9" s="3" t="inlineStr">
        <is>
          <t>M7</t>
        </is>
      </c>
      <c r="C9" s="3" t="inlineStr">
        <is>
          <t>Merlot</t>
        </is>
      </c>
      <c r="D9" s="4" t="inlineStr">
        <is>
          <t>Piso Moret Arena</t>
        </is>
      </c>
      <c r="E9" s="5">
        <f>'L9 M7'!C5</f>
        <v/>
      </c>
      <c r="F9" s="5">
        <f>'L9 M7'!D5</f>
        <v/>
      </c>
      <c r="G9" s="6">
        <f>'L9 M7'!E5</f>
        <v/>
      </c>
      <c r="H9" s="7" t="n"/>
    </row>
    <row r="10">
      <c r="A10" s="8" t="n"/>
      <c r="B10" s="8" t="n"/>
      <c r="C10" s="8" t="n"/>
      <c r="D10" s="4" t="inlineStr">
        <is>
          <t>Piso Royal Walnut</t>
        </is>
      </c>
      <c r="E10" s="5">
        <f>'L9 M7'!C6</f>
        <v/>
      </c>
      <c r="F10" s="5">
        <f>'L9 M7'!D6</f>
        <v/>
      </c>
      <c r="G10" s="6">
        <f>'L9 M7'!E6</f>
        <v/>
      </c>
      <c r="H10" s="7" t="n"/>
    </row>
    <row r="11">
      <c r="A11" s="8" t="n"/>
      <c r="B11" s="8" t="n"/>
      <c r="C11" s="8" t="n"/>
      <c r="D11" s="4" t="inlineStr">
        <is>
          <t>Urbania White</t>
        </is>
      </c>
      <c r="E11" s="5">
        <f>'L9 M7'!C7</f>
        <v/>
      </c>
      <c r="F11" s="5">
        <f>'L9 M7'!D7</f>
        <v/>
      </c>
      <c r="G11" s="6">
        <f>'L9 M7'!E7</f>
        <v/>
      </c>
      <c r="H11" s="7" t="n"/>
    </row>
    <row r="12">
      <c r="A12" s="9" t="n"/>
      <c r="B12" s="9" t="n"/>
      <c r="C12" s="9" t="n"/>
      <c r="D12" s="4" t="inlineStr">
        <is>
          <t>Malla Lyndhurst</t>
        </is>
      </c>
      <c r="E12" s="5">
        <f>'L9 M7'!C8</f>
        <v/>
      </c>
      <c r="F12" s="5">
        <f>'L9 M7'!D8</f>
        <v/>
      </c>
      <c r="G12" s="6">
        <f>'L9 M7'!E8</f>
        <v/>
      </c>
      <c r="H12" s="7" t="n"/>
    </row>
    <row r="14">
      <c r="A14" s="3" t="inlineStr">
        <is>
          <t>L10</t>
        </is>
      </c>
      <c r="B14" s="3" t="inlineStr">
        <is>
          <t>M7</t>
        </is>
      </c>
      <c r="C14" s="3" t="inlineStr">
        <is>
          <t>Merlot</t>
        </is>
      </c>
      <c r="D14" s="4" t="inlineStr">
        <is>
          <t>Piso Moret Arena</t>
        </is>
      </c>
      <c r="E14" s="5">
        <f>'L10 M7'!C5</f>
        <v/>
      </c>
      <c r="F14" s="5">
        <f>'L10 M7'!D5</f>
        <v/>
      </c>
      <c r="G14" s="6">
        <f>'L10 M7'!E5</f>
        <v/>
      </c>
      <c r="H14" s="7" t="n"/>
    </row>
    <row r="15">
      <c r="A15" s="8" t="n"/>
      <c r="B15" s="8" t="n"/>
      <c r="C15" s="8" t="n"/>
      <c r="D15" s="4" t="inlineStr">
        <is>
          <t>Piso Royal Walnut</t>
        </is>
      </c>
      <c r="E15" s="5">
        <f>'L10 M7'!C6</f>
        <v/>
      </c>
      <c r="F15" s="5">
        <f>'L10 M7'!D6</f>
        <v/>
      </c>
      <c r="G15" s="6">
        <f>'L10 M7'!E6</f>
        <v/>
      </c>
      <c r="H15" s="7" t="n"/>
    </row>
    <row r="16">
      <c r="A16" s="8" t="n"/>
      <c r="B16" s="8" t="n"/>
      <c r="C16" s="8" t="n"/>
      <c r="D16" s="4" t="inlineStr">
        <is>
          <t>Urbania White</t>
        </is>
      </c>
      <c r="E16" s="5">
        <f>'L10 M7'!C7</f>
        <v/>
      </c>
      <c r="F16" s="5">
        <f>'L10 M7'!D7</f>
        <v/>
      </c>
      <c r="G16" s="6">
        <f>'L10 M7'!E7</f>
        <v/>
      </c>
      <c r="H16" s="7" t="n"/>
    </row>
    <row r="17">
      <c r="A17" s="9" t="n"/>
      <c r="B17" s="9" t="n"/>
      <c r="C17" s="9" t="n"/>
      <c r="D17" s="4" t="inlineStr">
        <is>
          <t>Malla Lyndhurst</t>
        </is>
      </c>
      <c r="E17" s="5">
        <f>'L10 M7'!C8</f>
        <v/>
      </c>
      <c r="F17" s="5">
        <f>'L10 M7'!D8</f>
        <v/>
      </c>
      <c r="G17" s="6">
        <f>'L10 M7'!E8</f>
        <v/>
      </c>
      <c r="H17" s="7" t="n"/>
    </row>
  </sheetData>
  <mergeCells count="10">
    <mergeCell ref="C4:C7"/>
    <mergeCell ref="A4:A7"/>
    <mergeCell ref="B14:B17"/>
    <mergeCell ref="C14:C17"/>
    <mergeCell ref="C9:C12"/>
    <mergeCell ref="A9:A12"/>
    <mergeCell ref="B9:B12"/>
    <mergeCell ref="B4:B7"/>
    <mergeCell ref="A14:A1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34, MANZANA 14 · CABERNET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 m² (2 pz)</t>
        </is>
      </c>
      <c r="C5" s="5" t="n">
        <v>117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41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1.36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28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9,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1.36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10,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1.36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2026-06-26T05:13:28Z</dcterms:created>
  <dcterms:modified xsi:type="dcterms:W3CDTF">2026-06-26T05:13:28Z</dcterms:modified>
</cp:coreProperties>
</file>