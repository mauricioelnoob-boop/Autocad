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L34 M14" sheetId="2" state="visible" r:id="rId2"/>
    <sheet name="L9 M7" sheetId="3" state="visible" r:id="rId3"/>
    <sheet name="L10 M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L34</t>
        </is>
      </c>
      <c r="B4" s="3" t="inlineStr">
        <is>
          <t>M14</t>
        </is>
      </c>
      <c r="C4" s="3" t="inlineStr">
        <is>
          <t>Cabernet</t>
        </is>
      </c>
      <c r="D4" s="4" t="inlineStr">
        <is>
          <t>Piso Moret Arena</t>
        </is>
      </c>
      <c r="E4" s="5">
        <f>'L34 M14'!C5</f>
        <v/>
      </c>
      <c r="F4" s="5">
        <f>'L34 M14'!D5</f>
        <v/>
      </c>
      <c r="G4" s="6">
        <f>'L34 M14'!E5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'L34 M14'!C6</f>
        <v/>
      </c>
      <c r="F5" s="5">
        <f>'L34 M14'!D6</f>
        <v/>
      </c>
      <c r="G5" s="6">
        <f>'L34 M14'!E6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'L34 M14'!C7</f>
        <v/>
      </c>
      <c r="F6" s="5">
        <f>'L34 M14'!D7</f>
        <v/>
      </c>
      <c r="G6" s="6">
        <f>'L34 M14'!E7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'L34 M14'!C8</f>
        <v/>
      </c>
      <c r="F7" s="5">
        <f>'L34 M14'!D8</f>
        <v/>
      </c>
      <c r="G7" s="6">
        <f>'L34 M14'!E8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L10</t>
        </is>
      </c>
      <c r="B14" s="3" t="inlineStr">
        <is>
          <t>M7</t>
        </is>
      </c>
      <c r="C14" s="3" t="inlineStr">
        <is>
          <t>Merlot</t>
        </is>
      </c>
      <c r="D14" s="4" t="inlineStr">
        <is>
          <t>Piso Moret Arena</t>
        </is>
      </c>
      <c r="E14" s="5">
        <f>'L10 M7'!C5</f>
        <v/>
      </c>
      <c r="F14" s="5">
        <f>'L10 M7'!D5</f>
        <v/>
      </c>
      <c r="G14" s="6">
        <f>'L10 M7'!E5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'L10 M7'!C6</f>
        <v/>
      </c>
      <c r="F15" s="5">
        <f>'L10 M7'!D6</f>
        <v/>
      </c>
      <c r="G15" s="6">
        <f>'L10 M7'!E6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'L10 M7'!C7</f>
        <v/>
      </c>
      <c r="F16" s="5">
        <f>'L10 M7'!D7</f>
        <v/>
      </c>
      <c r="G16" s="6">
        <f>'L10 M7'!E7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'L10 M7'!C8</f>
        <v/>
      </c>
      <c r="F17" s="5">
        <f>'L10 M7'!D8</f>
        <v/>
      </c>
      <c r="G17" s="6">
        <f>'L10 M7'!E8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117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41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28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 m² (2 pz)</t>
        </is>
      </c>
      <c r="C5" s="5" t="n">
        <v>98</v>
      </c>
      <c r="D5" s="5">
        <f>SUMIF($B$12:$B$35,$A5,$C$12:$C$35)</f>
        <v/>
      </c>
      <c r="E5" s="6">
        <f>C5-D5</f>
        <v/>
      </c>
      <c r="F5" s="7" t="n"/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37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1.36 m² (10 pz)</t>
        </is>
      </c>
      <c r="C7" s="5" t="n">
        <v>8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17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2026-06-25T17:31:32Z</dcterms:created>
  <dcterms:modified xsi:type="dcterms:W3CDTF">2026-06-25T17:31:32Z</dcterms:modified>
</cp:coreProperties>
</file>