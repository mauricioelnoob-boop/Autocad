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bernet" sheetId="1" state="visible" r:id="rId1"/>
    <sheet name="Merlot" sheetId="2" state="visible" r:id="rId2"/>
    <sheet name="Chardonna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</font>
    <font>
      <b val="1"/>
    </font>
    <font>
      <i val="1"/>
      <color rgb="00555555"/>
    </font>
    <font>
      <i val="1"/>
      <color rgb="00888888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D5F5E3"/>
        </patternFill>
      </fill>
    </dxf>
    <dxf>
      <fill>
        <patternFill patternType="solid">
          <fgColor rgb="00F5B7B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GENERADORES (con desperdicio real) vs PRESUPUESTO — CABERNET</t>
        </is>
      </c>
    </row>
    <row r="3" ht="30" customHeight="1">
      <c r="A3" s="2" t="inlineStr">
        <is>
          <t>Material</t>
        </is>
      </c>
      <c r="B3" s="2" t="inlineStr">
        <is>
          <t>Neto (m²)</t>
        </is>
      </c>
      <c r="C3" s="2" t="inlineStr">
        <is>
          <t>Sobrante reusable (m²)</t>
        </is>
      </c>
      <c r="D3" s="2" t="inlineStr">
        <is>
          <t>Merma real (m²)</t>
        </is>
      </c>
      <c r="E3" s="2" t="inlineStr">
        <is>
          <t>Requerido (cajas)</t>
        </is>
      </c>
      <c r="F3" s="2" t="inlineStr">
        <is>
          <t>Requerido (m²)</t>
        </is>
      </c>
      <c r="G3" s="2" t="inlineStr">
        <is>
          <t>Suministrado (cajas)</t>
        </is>
      </c>
      <c r="H3" s="2" t="inlineStr">
        <is>
          <t>Suministrado (m²)</t>
        </is>
      </c>
      <c r="I3" s="2" t="inlineStr">
        <is>
          <t>Diferencia (cajas)</t>
        </is>
      </c>
      <c r="J3" s="2" t="inlineStr">
        <is>
          <t>Diferencia (m²)</t>
        </is>
      </c>
    </row>
    <row r="4">
      <c r="A4" s="3" t="inlineStr">
        <is>
          <t>PISO Moret Arena</t>
        </is>
      </c>
      <c r="B4" s="4" t="n">
        <v>155.24</v>
      </c>
      <c r="C4" s="4" t="n">
        <v>5.51</v>
      </c>
      <c r="D4" s="4" t="n">
        <v>3.5</v>
      </c>
      <c r="E4" s="4" t="n">
        <v>126</v>
      </c>
      <c r="F4" s="4" t="n">
        <v>179.32</v>
      </c>
      <c r="G4" s="4" t="n">
        <v>117</v>
      </c>
      <c r="H4" s="4">
        <f>G4*1.4232</f>
        <v/>
      </c>
      <c r="I4" s="4">
        <f>G4-E4</f>
        <v/>
      </c>
      <c r="J4" s="4">
        <f>H4-F4</f>
        <v/>
      </c>
    </row>
    <row r="5">
      <c r="A5" s="3" t="inlineStr">
        <is>
          <t>PISO Royal Walnut</t>
        </is>
      </c>
      <c r="B5" s="4" t="n">
        <v>45.45</v>
      </c>
      <c r="C5" s="4" t="n">
        <v>2.27</v>
      </c>
      <c r="D5" s="4" t="n">
        <v>2.92</v>
      </c>
      <c r="E5" s="4" t="n">
        <v>43</v>
      </c>
      <c r="F5" s="4" t="n">
        <v>51.6</v>
      </c>
      <c r="G5" s="4" t="n">
        <v>41</v>
      </c>
      <c r="H5" s="4">
        <f>G5*1.2</f>
        <v/>
      </c>
      <c r="I5" s="4">
        <f>G5-E5</f>
        <v/>
      </c>
      <c r="J5" s="4">
        <f>H5-F5</f>
        <v/>
      </c>
    </row>
    <row r="6">
      <c r="A6" s="3" t="inlineStr">
        <is>
          <t>Urbania White</t>
        </is>
      </c>
      <c r="B6" s="4" t="n">
        <v>10</v>
      </c>
      <c r="C6" s="4" t="n">
        <v>0</v>
      </c>
      <c r="D6" s="4" t="n">
        <v>0</v>
      </c>
      <c r="E6" s="4" t="n">
        <v>8</v>
      </c>
      <c r="F6" s="4" t="n">
        <v>10.8</v>
      </c>
      <c r="G6" s="4" t="n">
        <v>8</v>
      </c>
      <c r="H6" s="4">
        <f>G6*1.35</f>
        <v/>
      </c>
      <c r="I6" s="4">
        <f>G6-E6</f>
        <v/>
      </c>
      <c r="J6" s="4">
        <f>H6-F6</f>
        <v/>
      </c>
    </row>
    <row r="7">
      <c r="A7" s="3" t="inlineStr">
        <is>
          <t>Malla Lyndhurst (pz)</t>
        </is>
      </c>
      <c r="B7" s="4" t="n"/>
      <c r="C7" s="4" t="n"/>
      <c r="D7" s="4" t="n"/>
      <c r="E7" s="4" t="n">
        <v>17</v>
      </c>
      <c r="F7" s="4" t="n"/>
      <c r="G7" s="4" t="n">
        <v>28</v>
      </c>
      <c r="H7" s="4" t="n"/>
      <c r="I7" s="4">
        <f>G7-E7</f>
        <v/>
      </c>
      <c r="J7" s="4" t="n"/>
    </row>
    <row r="9">
      <c r="A9" s="5" t="inlineStr">
        <is>
          <t>Suministrado (cajas) es editable; m², diferencia en cajas y en m² se recalculan solas.</t>
        </is>
      </c>
    </row>
    <row r="10">
      <c r="A10" s="6" t="inlineStr">
        <is>
          <t>Elaboró: Ing. Mauricio Gastelum Mora    ·    01/07/2026</t>
        </is>
      </c>
    </row>
  </sheetData>
  <mergeCells count="1">
    <mergeCell ref="A1:J1"/>
  </mergeCells>
  <conditionalFormatting sqref="I4:I7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J4:J7">
    <cfRule type="cellIs" priority="3" operator="greaterThanOrEqual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GENERADORES (con desperdicio real) vs PRESUPUESTO — MERLOT</t>
        </is>
      </c>
    </row>
    <row r="3" ht="30" customHeight="1">
      <c r="A3" s="2" t="inlineStr">
        <is>
          <t>Material</t>
        </is>
      </c>
      <c r="B3" s="2" t="inlineStr">
        <is>
          <t>Neto (m²)</t>
        </is>
      </c>
      <c r="C3" s="2" t="inlineStr">
        <is>
          <t>Sobrante reusable (m²)</t>
        </is>
      </c>
      <c r="D3" s="2" t="inlineStr">
        <is>
          <t>Merma real (m²)</t>
        </is>
      </c>
      <c r="E3" s="2" t="inlineStr">
        <is>
          <t>Requerido (cajas)</t>
        </is>
      </c>
      <c r="F3" s="2" t="inlineStr">
        <is>
          <t>Requerido (m²)</t>
        </is>
      </c>
      <c r="G3" s="2" t="inlineStr">
        <is>
          <t>Suministrado (cajas)</t>
        </is>
      </c>
      <c r="H3" s="2" t="inlineStr">
        <is>
          <t>Suministrado (m²)</t>
        </is>
      </c>
      <c r="I3" s="2" t="inlineStr">
        <is>
          <t>Diferencia (cajas)</t>
        </is>
      </c>
      <c r="J3" s="2" t="inlineStr">
        <is>
          <t>Diferencia (m²)</t>
        </is>
      </c>
    </row>
    <row r="4">
      <c r="A4" s="3" t="inlineStr">
        <is>
          <t>PISO Moret Arena</t>
        </is>
      </c>
      <c r="B4" s="4" t="n">
        <v>132.26</v>
      </c>
      <c r="C4" s="4" t="n">
        <v>6.19</v>
      </c>
      <c r="D4" s="4" t="n">
        <v>3.11</v>
      </c>
      <c r="E4" s="4" t="n">
        <v>108</v>
      </c>
      <c r="F4" s="4" t="n">
        <v>153.71</v>
      </c>
      <c r="G4" s="4" t="n">
        <v>98</v>
      </c>
      <c r="H4" s="4">
        <f>G4*1.4232</f>
        <v/>
      </c>
      <c r="I4" s="4">
        <f>G4-E4</f>
        <v/>
      </c>
      <c r="J4" s="4">
        <f>H4-F4</f>
        <v/>
      </c>
    </row>
    <row r="5">
      <c r="A5" s="3" t="inlineStr">
        <is>
          <t>PISO Royal Walnut</t>
        </is>
      </c>
      <c r="B5" s="4" t="n">
        <v>43.41</v>
      </c>
      <c r="C5" s="4" t="n">
        <v>1.84</v>
      </c>
      <c r="D5" s="4" t="n">
        <v>2.98</v>
      </c>
      <c r="E5" s="4" t="n">
        <v>42</v>
      </c>
      <c r="F5" s="4" t="n">
        <v>50.4</v>
      </c>
      <c r="G5" s="4" t="n">
        <v>37</v>
      </c>
      <c r="H5" s="4">
        <f>G5*1.2</f>
        <v/>
      </c>
      <c r="I5" s="4">
        <f>G5-E5</f>
        <v/>
      </c>
      <c r="J5" s="4">
        <f>H5-F5</f>
        <v/>
      </c>
    </row>
    <row r="6">
      <c r="A6" s="3" t="inlineStr">
        <is>
          <t>Urbania White</t>
        </is>
      </c>
      <c r="B6" s="4" t="n">
        <v>10</v>
      </c>
      <c r="C6" s="4" t="n">
        <v>0</v>
      </c>
      <c r="D6" s="4" t="n">
        <v>0</v>
      </c>
      <c r="E6" s="4" t="n">
        <v>8</v>
      </c>
      <c r="F6" s="4" t="n">
        <v>10.8</v>
      </c>
      <c r="G6" s="4" t="n">
        <v>8</v>
      </c>
      <c r="H6" s="4">
        <f>G6*1.35</f>
        <v/>
      </c>
      <c r="I6" s="4">
        <f>G6-E6</f>
        <v/>
      </c>
      <c r="J6" s="4">
        <f>H6-F6</f>
        <v/>
      </c>
    </row>
    <row r="7">
      <c r="A7" s="3" t="inlineStr">
        <is>
          <t>Malla Lyndhurst (pz)</t>
        </is>
      </c>
      <c r="B7" s="4" t="n"/>
      <c r="C7" s="4" t="n"/>
      <c r="D7" s="4" t="n"/>
      <c r="E7" s="4" t="n">
        <v>17</v>
      </c>
      <c r="F7" s="4" t="n"/>
      <c r="G7" s="4" t="n">
        <v>17</v>
      </c>
      <c r="H7" s="4" t="n"/>
      <c r="I7" s="4">
        <f>G7-E7</f>
        <v/>
      </c>
      <c r="J7" s="4" t="n"/>
    </row>
    <row r="9">
      <c r="A9" s="5" t="inlineStr">
        <is>
          <t>Suministrado (cajas) es editable; m², diferencia en cajas y en m² se recalculan solas.</t>
        </is>
      </c>
    </row>
    <row r="10">
      <c r="A10" s="6" t="inlineStr">
        <is>
          <t>Elaboró: Ing. Mauricio Gastelum Mora    ·    01/07/2026</t>
        </is>
      </c>
    </row>
  </sheetData>
  <mergeCells count="1">
    <mergeCell ref="A1:J1"/>
  </mergeCells>
  <conditionalFormatting sqref="I4:I7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J4:J7">
    <cfRule type="cellIs" priority="3" operator="greaterThanOrEqual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2" customWidth="1" min="4" max="4"/>
    <col width="12" customWidth="1" min="5" max="5"/>
    <col width="12" customWidth="1" min="6" max="6"/>
    <col width="14" customWidth="1" min="7" max="7"/>
    <col width="13" customWidth="1" min="8" max="8"/>
    <col width="12" customWidth="1" min="9" max="9"/>
    <col width="12" customWidth="1" min="10" max="10"/>
  </cols>
  <sheetData>
    <row r="1">
      <c r="A1" s="1" t="inlineStr">
        <is>
          <t>GENERADORES (con desperdicio real) vs PRESUPUESTO — CHARDONNAY</t>
        </is>
      </c>
    </row>
    <row r="3" ht="30" customHeight="1">
      <c r="A3" s="2" t="inlineStr">
        <is>
          <t>Material</t>
        </is>
      </c>
      <c r="B3" s="2" t="inlineStr">
        <is>
          <t>Neto (m²)</t>
        </is>
      </c>
      <c r="C3" s="2" t="inlineStr">
        <is>
          <t>Sobrante reusable (m²)</t>
        </is>
      </c>
      <c r="D3" s="2" t="inlineStr">
        <is>
          <t>Merma real (m²)</t>
        </is>
      </c>
      <c r="E3" s="2" t="inlineStr">
        <is>
          <t>Requerido (cajas)</t>
        </is>
      </c>
      <c r="F3" s="2" t="inlineStr">
        <is>
          <t>Requerido (m²)</t>
        </is>
      </c>
      <c r="G3" s="2" t="inlineStr">
        <is>
          <t>Suministrado (cajas)</t>
        </is>
      </c>
      <c r="H3" s="2" t="inlineStr">
        <is>
          <t>Suministrado (m²)</t>
        </is>
      </c>
      <c r="I3" s="2" t="inlineStr">
        <is>
          <t>Diferencia (cajas)</t>
        </is>
      </c>
      <c r="J3" s="2" t="inlineStr">
        <is>
          <t>Diferencia (m²)</t>
        </is>
      </c>
    </row>
    <row r="4">
      <c r="A4" s="3" t="inlineStr">
        <is>
          <t>PISO Moret Arena</t>
        </is>
      </c>
      <c r="B4" s="4" t="n">
        <v>175.36</v>
      </c>
      <c r="C4" s="4" t="n">
        <v>12.07</v>
      </c>
      <c r="D4" s="4" t="n">
        <v>3.69</v>
      </c>
      <c r="E4" s="4" t="n">
        <v>143</v>
      </c>
      <c r="F4" s="4" t="n">
        <v>203.52</v>
      </c>
      <c r="G4" s="4" t="n">
        <v>127</v>
      </c>
      <c r="H4" s="4">
        <f>G4*1.4232</f>
        <v/>
      </c>
      <c r="I4" s="4">
        <f>G4-E4</f>
        <v/>
      </c>
      <c r="J4" s="4">
        <f>H4-F4</f>
        <v/>
      </c>
    </row>
    <row r="5">
      <c r="A5" s="3" t="inlineStr">
        <is>
          <t>PISO Royal Walnut</t>
        </is>
      </c>
      <c r="B5" s="4" t="n">
        <v>37.25</v>
      </c>
      <c r="C5" s="4" t="n">
        <v>1.2</v>
      </c>
      <c r="D5" s="4" t="n">
        <v>2.1</v>
      </c>
      <c r="E5" s="4" t="n">
        <v>37</v>
      </c>
      <c r="F5" s="4" t="n">
        <v>44.4</v>
      </c>
      <c r="G5" s="4" t="n">
        <v>32</v>
      </c>
      <c r="H5" s="4">
        <f>G5*1.2</f>
        <v/>
      </c>
      <c r="I5" s="4">
        <f>G5-E5</f>
        <v/>
      </c>
      <c r="J5" s="4">
        <f>H5-F5</f>
        <v/>
      </c>
    </row>
    <row r="6">
      <c r="A6" s="3" t="inlineStr">
        <is>
          <t>Urbania White</t>
        </is>
      </c>
      <c r="B6" s="4" t="n">
        <v>10</v>
      </c>
      <c r="C6" s="4" t="n">
        <v>0</v>
      </c>
      <c r="D6" s="4" t="n">
        <v>0</v>
      </c>
      <c r="E6" s="4" t="n">
        <v>8</v>
      </c>
      <c r="F6" s="4" t="n">
        <v>10.8</v>
      </c>
      <c r="G6" s="4" t="n">
        <v>8</v>
      </c>
      <c r="H6" s="4">
        <f>G6*1.35</f>
        <v/>
      </c>
      <c r="I6" s="4">
        <f>G6-E6</f>
        <v/>
      </c>
      <c r="J6" s="4">
        <f>H6-F6</f>
        <v/>
      </c>
    </row>
    <row r="7">
      <c r="A7" s="3" t="inlineStr">
        <is>
          <t>Malla Lyndhurst (pz)</t>
        </is>
      </c>
      <c r="B7" s="4" t="n"/>
      <c r="C7" s="4" t="n"/>
      <c r="D7" s="4" t="n"/>
      <c r="E7" s="4" t="n">
        <v>25</v>
      </c>
      <c r="F7" s="4" t="n"/>
      <c r="G7" s="4" t="n">
        <v>28</v>
      </c>
      <c r="H7" s="4" t="n"/>
      <c r="I7" s="4">
        <f>G7-E7</f>
        <v/>
      </c>
      <c r="J7" s="4" t="n"/>
    </row>
    <row r="9">
      <c r="A9" s="5" t="inlineStr">
        <is>
          <t>Suministrado (cajas) es editable; m², diferencia en cajas y en m² se recalculan solas.</t>
        </is>
      </c>
    </row>
    <row r="10">
      <c r="A10" s="6" t="inlineStr">
        <is>
          <t>Elaboró: Ing. Mauricio Gastelum Mora    ·    01/07/2026</t>
        </is>
      </c>
    </row>
  </sheetData>
  <mergeCells count="1">
    <mergeCell ref="A1:J1"/>
  </mergeCells>
  <conditionalFormatting sqref="I4:I7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J4:J7">
    <cfRule type="cellIs" priority="3" operator="greaterThanOrEqual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2026-07-01T15:42:50Z</dcterms:created>
  <dcterms:modified xsi:type="dcterms:W3CDTF">2026-07-01T15:43:28Z</dcterms:modified>
</cp:coreProperties>
</file>