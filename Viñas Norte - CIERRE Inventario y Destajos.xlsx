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ventario Final" sheetId="1" state="visible" r:id="rId1"/>
    <sheet name="2. Cuadre Consumo-Destajo" sheetId="2" state="visible" r:id="rId2"/>
    <sheet name="3. Destajos por semana" sheetId="3" state="visible" r:id="rId3"/>
    <sheet name="4. Resumen por pisero" sheetId="4" state="visible" r:id="rId4"/>
    <sheet name="5. Asistencia (pisero-días)" sheetId="5" state="visible" r:id="rId5"/>
    <sheet name="6. Notas y Hue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EF3CF"/>
      </patternFill>
    </fill>
    <fill>
      <patternFill patternType="solid">
        <fgColor rgb="00D5F5E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9" customWidth="1" min="4" max="4"/>
    <col width="11" customWidth="1" min="5" max="5"/>
    <col width="26" customWidth="1" min="6" max="6"/>
  </cols>
  <sheetData>
    <row r="1">
      <c r="A1" s="1" t="inlineStr">
        <is>
          <t>INVENTARIO FINAL DE ALMACÉN — VIÑAS NORTE (cierre)</t>
        </is>
      </c>
    </row>
    <row r="2">
      <c r="A2" s="2" t="inlineStr">
        <is>
          <t>Inicial − Actual = Consumido.  Fuente: inventario final del responsable.</t>
        </is>
      </c>
    </row>
    <row r="3">
      <c r="A3" s="3" t="inlineStr">
        <is>
          <t>Lote</t>
        </is>
      </c>
      <c r="B3" s="3" t="inlineStr">
        <is>
          <t>Material</t>
        </is>
      </c>
      <c r="C3" s="3" t="inlineStr">
        <is>
          <t>Inicial</t>
        </is>
      </c>
      <c r="D3" s="3" t="inlineStr">
        <is>
          <t>Actual</t>
        </is>
      </c>
      <c r="E3" s="3" t="inlineStr">
        <is>
          <t>Consumido</t>
        </is>
      </c>
      <c r="F3" s="3" t="inlineStr">
        <is>
          <t>Notas</t>
        </is>
      </c>
    </row>
    <row r="4">
      <c r="A4" s="4" t="inlineStr">
        <is>
          <t>L10 (Merlot) Mza7 — ACTIVO</t>
        </is>
      </c>
    </row>
    <row r="5">
      <c r="A5" s="5" t="n"/>
      <c r="B5" s="5" t="inlineStr">
        <is>
          <t>Piso Moret</t>
        </is>
      </c>
      <c r="C5" s="6" t="n">
        <v>98</v>
      </c>
      <c r="D5" s="7" t="n">
        <v>48</v>
      </c>
      <c r="E5" s="8">
        <f>C5-D5</f>
        <v/>
      </c>
      <c r="F5" s="9" t="inlineStr">
        <is>
          <t>piso gral</t>
        </is>
      </c>
    </row>
    <row r="6">
      <c r="A6" s="5" t="n"/>
      <c r="B6" s="5" t="inlineStr">
        <is>
          <t>Royal Walnut (duela)</t>
        </is>
      </c>
      <c r="C6" s="6" t="n">
        <v>37</v>
      </c>
      <c r="D6" s="7" t="n">
        <v>0</v>
      </c>
      <c r="E6" s="8">
        <f>C6-D6</f>
        <v/>
      </c>
      <c r="F6" s="9" t="inlineStr">
        <is>
          <t>recámaras</t>
        </is>
      </c>
    </row>
    <row r="7">
      <c r="A7" s="5" t="n"/>
      <c r="B7" s="5" t="inlineStr">
        <is>
          <t>Urbania White</t>
        </is>
      </c>
      <c r="C7" s="6" t="n">
        <v>7</v>
      </c>
      <c r="D7" s="7" t="n">
        <v>7</v>
      </c>
      <c r="E7" s="8">
        <f>C7-D7</f>
        <v/>
      </c>
      <c r="F7" s="9" t="inlineStr">
        <is>
          <t>cuarto lavado</t>
        </is>
      </c>
    </row>
    <row r="8">
      <c r="A8" s="5" t="n"/>
      <c r="B8" s="5" t="inlineStr">
        <is>
          <t>Malla Lyndhurst</t>
        </is>
      </c>
      <c r="C8" s="6" t="n">
        <v>17</v>
      </c>
      <c r="D8" s="7" t="n">
        <v>9</v>
      </c>
      <c r="E8" s="8">
        <f>C8-D8</f>
        <v/>
      </c>
      <c r="F8" s="9" t="inlineStr">
        <is>
          <t>charolas baño</t>
        </is>
      </c>
    </row>
    <row r="9">
      <c r="A9" s="5" t="n"/>
      <c r="B9" s="5" t="inlineStr">
        <is>
          <t>Pegavitro (adh.)</t>
        </is>
      </c>
      <c r="C9" s="6" t="n">
        <v>79</v>
      </c>
      <c r="D9" s="7" t="n">
        <v>41</v>
      </c>
      <c r="E9" s="8">
        <f>C9-D9</f>
        <v/>
      </c>
      <c r="F9" s="9" t="inlineStr"/>
    </row>
    <row r="10">
      <c r="A10" s="5" t="n"/>
      <c r="B10" s="5" t="inlineStr">
        <is>
          <t>Fija Porcelánico (adh.)</t>
        </is>
      </c>
      <c r="C10" s="6" t="n">
        <v>39</v>
      </c>
      <c r="D10" s="7" t="n">
        <v>14</v>
      </c>
      <c r="E10" s="8">
        <f>C10-D10</f>
        <v/>
      </c>
      <c r="F10" s="9" t="inlineStr"/>
    </row>
    <row r="11">
      <c r="A11" s="4" t="inlineStr">
        <is>
          <t>L34 (Cabernet) Mza14 — TERMINADO</t>
        </is>
      </c>
    </row>
    <row r="12">
      <c r="A12" s="5" t="n"/>
      <c r="B12" s="5" t="inlineStr">
        <is>
          <t>Piso Moret</t>
        </is>
      </c>
      <c r="C12" s="6" t="n">
        <v>117</v>
      </c>
      <c r="D12" s="7" t="n">
        <v>0</v>
      </c>
      <c r="E12" s="8">
        <f>C12-D12</f>
        <v/>
      </c>
      <c r="F12" s="9" t="inlineStr">
        <is>
          <t>piso gral</t>
        </is>
      </c>
    </row>
    <row r="13">
      <c r="A13" s="5" t="n"/>
      <c r="B13" s="5" t="inlineStr">
        <is>
          <t>Urbania White</t>
        </is>
      </c>
      <c r="C13" s="6" t="n">
        <v>8</v>
      </c>
      <c r="D13" s="7" t="n">
        <v>0</v>
      </c>
      <c r="E13" s="8">
        <f>C13-D13</f>
        <v/>
      </c>
      <c r="F13" s="9" t="inlineStr"/>
    </row>
    <row r="14">
      <c r="A14" s="5" t="n"/>
      <c r="B14" s="5" t="inlineStr">
        <is>
          <t>Malla Lyndhurst</t>
        </is>
      </c>
      <c r="C14" s="6" t="n">
        <v>28</v>
      </c>
      <c r="D14" s="7" t="n">
        <v>0</v>
      </c>
      <c r="E14" s="8">
        <f>C14-D14</f>
        <v/>
      </c>
      <c r="F14" s="9" t="inlineStr"/>
    </row>
    <row r="15">
      <c r="A15" s="5" t="n"/>
      <c r="B15" s="5" t="inlineStr">
        <is>
          <t>Royal Walnut (duela)</t>
        </is>
      </c>
      <c r="C15" s="6" t="n">
        <v>41</v>
      </c>
      <c r="D15" s="7" t="n">
        <v>0</v>
      </c>
      <c r="E15" s="8">
        <f>C15-D15</f>
        <v/>
      </c>
      <c r="F15" s="9" t="inlineStr">
        <is>
          <t>recámaras</t>
        </is>
      </c>
    </row>
    <row r="16">
      <c r="A16" s="5" t="n"/>
      <c r="B16" s="5" t="inlineStr">
        <is>
          <t>Pegavitro</t>
        </is>
      </c>
      <c r="C16" s="6" t="n">
        <v>93</v>
      </c>
      <c r="D16" s="7" t="n">
        <v>0</v>
      </c>
      <c r="E16" s="8">
        <f>C16-D16</f>
        <v/>
      </c>
      <c r="F16" s="9" t="inlineStr"/>
    </row>
    <row r="17">
      <c r="A17" s="5" t="n"/>
      <c r="B17" s="5" t="inlineStr">
        <is>
          <t>Unicrest</t>
        </is>
      </c>
      <c r="C17" s="6" t="n">
        <v>20</v>
      </c>
      <c r="D17" s="7" t="n">
        <v>0</v>
      </c>
      <c r="E17" s="8">
        <f>C17-D17</f>
        <v/>
      </c>
      <c r="F17" s="9" t="inlineStr"/>
    </row>
    <row r="18">
      <c r="A18" s="4" t="inlineStr">
        <is>
          <t>L9 (Merlot) Mza7 — TERMINADO</t>
        </is>
      </c>
    </row>
    <row r="19">
      <c r="A19" s="5" t="n"/>
      <c r="B19" s="5" t="inlineStr">
        <is>
          <t>Piso Moret</t>
        </is>
      </c>
      <c r="C19" s="6" t="n">
        <v>98</v>
      </c>
      <c r="D19" s="7" t="n">
        <v>0</v>
      </c>
      <c r="E19" s="8">
        <f>C19-D19</f>
        <v/>
      </c>
      <c r="F19" s="9" t="inlineStr">
        <is>
          <t>piso gral</t>
        </is>
      </c>
    </row>
    <row r="20">
      <c r="A20" s="5" t="n"/>
      <c r="B20" s="5" t="inlineStr">
        <is>
          <t>Urbania White</t>
        </is>
      </c>
      <c r="C20" s="6" t="n">
        <v>8</v>
      </c>
      <c r="D20" s="7" t="n">
        <v>0</v>
      </c>
      <c r="E20" s="8">
        <f>C20-D20</f>
        <v/>
      </c>
      <c r="F20" s="9" t="inlineStr"/>
    </row>
    <row r="21">
      <c r="A21" s="5" t="n"/>
      <c r="B21" s="5" t="inlineStr">
        <is>
          <t>Malla Lyndhurst</t>
        </is>
      </c>
      <c r="C21" s="6" t="n">
        <v>17</v>
      </c>
      <c r="D21" s="7" t="n">
        <v>13</v>
      </c>
      <c r="E21" s="8">
        <f>C21-D21</f>
        <v/>
      </c>
      <c r="F21" s="9" t="inlineStr"/>
    </row>
    <row r="22">
      <c r="A22" s="5" t="n"/>
      <c r="B22" s="5" t="inlineStr">
        <is>
          <t>Royal Walnut (duela)</t>
        </is>
      </c>
      <c r="C22" s="6" t="n">
        <v>37</v>
      </c>
      <c r="D22" s="7" t="n">
        <v>0</v>
      </c>
      <c r="E22" s="8">
        <f>C22-D22</f>
        <v/>
      </c>
      <c r="F22" s="9" t="inlineStr">
        <is>
          <t>recámaras</t>
        </is>
      </c>
    </row>
    <row r="23">
      <c r="A23" s="5" t="n"/>
      <c r="B23" s="5" t="inlineStr">
        <is>
          <t>Pegavitro</t>
        </is>
      </c>
      <c r="C23" s="6" t="n">
        <v>79</v>
      </c>
      <c r="D23" s="7" t="n">
        <v>0</v>
      </c>
      <c r="E23" s="8">
        <f>C23-D23</f>
        <v/>
      </c>
      <c r="F23" s="9" t="inlineStr"/>
    </row>
    <row r="24">
      <c r="A24" s="5" t="n"/>
      <c r="B24" s="5" t="inlineStr">
        <is>
          <t>Fija Porcelánico</t>
        </is>
      </c>
      <c r="C24" s="6" t="n">
        <v>39</v>
      </c>
      <c r="D24" s="7" t="n">
        <v>0</v>
      </c>
      <c r="E24" s="8">
        <f>C24-D24</f>
        <v/>
      </c>
      <c r="F24" s="9" t="inlineStr"/>
    </row>
  </sheetData>
  <mergeCells count="4">
    <mergeCell ref="A11:F11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3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CUADRE: CONSUMO (cajas) vs DESTAJO (m² instalados) + MERMA</t>
        </is>
      </c>
    </row>
    <row r="2">
      <c r="A2" s="2" t="inlineStr">
        <is>
          <t>Council: CIERRA_CON_HUECOS. Conv: Moret 1.4232 m²/caja, Royal 1.20 m²/caja. Zoclo y muros = Moret.</t>
        </is>
      </c>
    </row>
    <row r="3">
      <c r="A3" s="3" t="inlineStr">
        <is>
          <t>Lote</t>
        </is>
      </c>
      <c r="B3" s="3" t="inlineStr">
        <is>
          <t>Material</t>
        </is>
      </c>
      <c r="C3" s="3" t="inlineStr">
        <is>
          <t>Consumido (cajas)</t>
        </is>
      </c>
      <c r="D3" s="3" t="inlineStr">
        <is>
          <t>m² instalados</t>
        </is>
      </c>
      <c r="E3" s="3" t="inlineStr">
        <is>
          <t>Cajas-equiv</t>
        </is>
      </c>
      <c r="F3" s="3" t="inlineStr">
        <is>
          <t>Merma %</t>
        </is>
      </c>
      <c r="G3" s="3" t="inlineStr">
        <is>
          <t>Estado</t>
        </is>
      </c>
    </row>
    <row r="4">
      <c r="A4" s="9" t="inlineStr">
        <is>
          <t>L34 (Cabernet)</t>
        </is>
      </c>
      <c r="B4" s="9" t="inlineStr">
        <is>
          <t>Moret</t>
        </is>
      </c>
      <c r="C4" s="6" t="n">
        <v>117</v>
      </c>
      <c r="D4" s="6" t="n">
        <v>130.62</v>
      </c>
      <c r="E4" s="6" t="n">
        <v>91.78</v>
      </c>
      <c r="F4" s="6" t="inlineStr">
        <is>
          <t>21.6%</t>
        </is>
      </c>
      <c r="G4" s="10" t="inlineStr">
        <is>
          <t>CUADRA</t>
        </is>
      </c>
    </row>
    <row r="5">
      <c r="A5" s="9" t="inlineStr">
        <is>
          <t>L34 (Cabernet)</t>
        </is>
      </c>
      <c r="B5" s="9" t="inlineStr">
        <is>
          <t>Royal/duela</t>
        </is>
      </c>
      <c r="C5" s="6" t="n">
        <v>41</v>
      </c>
      <c r="D5" s="6" t="n">
        <v>39.63</v>
      </c>
      <c r="E5" s="6" t="n">
        <v>33.02</v>
      </c>
      <c r="F5" s="6" t="inlineStr">
        <is>
          <t>19.5%</t>
        </is>
      </c>
      <c r="G5" s="10" t="inlineStr">
        <is>
          <t>CUADRA</t>
        </is>
      </c>
    </row>
    <row r="6">
      <c r="A6" s="9" t="inlineStr">
        <is>
          <t>L9 (Merlot)</t>
        </is>
      </c>
      <c r="B6" s="9" t="inlineStr">
        <is>
          <t>Moret</t>
        </is>
      </c>
      <c r="C6" s="6" t="n">
        <v>98</v>
      </c>
      <c r="D6" s="6" t="n">
        <v>17.49</v>
      </c>
      <c r="E6" s="6" t="n">
        <v>12.29</v>
      </c>
      <c r="F6" s="6" t="inlineStr">
        <is>
          <t>hueco doc.</t>
        </is>
      </c>
      <c r="G6" s="11" t="inlineStr">
        <is>
          <t>HUECO m² (destajo en %)</t>
        </is>
      </c>
    </row>
    <row r="7">
      <c r="A7" s="9" t="inlineStr">
        <is>
          <t>L9 (Merlot)</t>
        </is>
      </c>
      <c r="B7" s="9" t="inlineStr">
        <is>
          <t>Royal/duela</t>
        </is>
      </c>
      <c r="C7" s="6" t="n">
        <v>37</v>
      </c>
      <c r="D7" s="6" t="n">
        <v>39.85</v>
      </c>
      <c r="E7" s="6" t="n">
        <v>33.21</v>
      </c>
      <c r="F7" s="6" t="inlineStr">
        <is>
          <t>10.2%</t>
        </is>
      </c>
      <c r="G7" s="10" t="inlineStr">
        <is>
          <t>CUADRA</t>
        </is>
      </c>
    </row>
    <row r="8">
      <c r="A8" s="9" t="inlineStr">
        <is>
          <t>L10 (Merlot) ACTIVO</t>
        </is>
      </c>
      <c r="B8" s="9" t="inlineStr">
        <is>
          <t>Moret</t>
        </is>
      </c>
      <c r="C8" s="6" t="n">
        <v>50</v>
      </c>
      <c r="D8" s="6" t="inlineStr">
        <is>
          <t>—</t>
        </is>
      </c>
      <c r="E8" s="6" t="inlineStr">
        <is>
          <t>—</t>
        </is>
      </c>
      <c r="F8" s="6" t="inlineStr">
        <is>
          <t>s/d</t>
        </is>
      </c>
      <c r="G8" s="11" t="inlineStr">
        <is>
          <t>HUECO m² (lote activo)</t>
        </is>
      </c>
    </row>
    <row r="9">
      <c r="A9" s="9" t="inlineStr">
        <is>
          <t>L10 (Merlot) ACTIVO</t>
        </is>
      </c>
      <c r="B9" s="9" t="inlineStr">
        <is>
          <t>Royal/duela</t>
        </is>
      </c>
      <c r="C9" s="6" t="n">
        <v>37</v>
      </c>
      <c r="D9" s="6" t="inlineStr">
        <is>
          <t>—</t>
        </is>
      </c>
      <c r="E9" s="6" t="inlineStr">
        <is>
          <t>—</t>
        </is>
      </c>
      <c r="F9" s="6" t="inlineStr">
        <is>
          <t>s/d</t>
        </is>
      </c>
      <c r="G9" s="11" t="inlineStr">
        <is>
          <t>HUECO m² (WIP 60%)</t>
        </is>
      </c>
    </row>
    <row r="11">
      <c r="A11" t="inlineStr">
        <is>
          <t>CONCLUSIÓN: el inventario CIERRA (existencias consistentes). Donde dice 'HUECO m²' el material SÍ se consumió</t>
        </is>
      </c>
    </row>
    <row r="12">
      <c r="A12" t="inlineStr">
        <is>
          <t>(inventario en 0), pero el destajo se reportó en % sin m² → falta levantamiento de metros para cruzarlo.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52" customWidth="1" min="4" max="4"/>
    <col width="14" customWidth="1" min="5" max="5"/>
    <col width="18" customWidth="1" min="6" max="6"/>
  </cols>
  <sheetData>
    <row r="1">
      <c r="A1" s="1" t="inlineStr">
        <is>
          <t>DESTAJOS — m² INSTALADOS POR SEMANA / PISERO / LOTE</t>
        </is>
      </c>
    </row>
    <row r="3">
      <c r="A3" s="3" t="inlineStr">
        <is>
          <t>Fecha/Semana</t>
        </is>
      </c>
      <c r="B3" s="3" t="inlineStr">
        <is>
          <t>Pisero</t>
        </is>
      </c>
      <c r="C3" s="3" t="inlineStr">
        <is>
          <t>Lote</t>
        </is>
      </c>
      <c r="D3" s="3" t="inlineStr">
        <is>
          <t>Trabajo</t>
        </is>
      </c>
      <c r="E3" s="3" t="inlineStr">
        <is>
          <t>m² / ml</t>
        </is>
      </c>
      <c r="F3" s="3" t="inlineStr">
        <is>
          <t>Estado</t>
        </is>
      </c>
    </row>
    <row r="4">
      <c r="A4" s="9" t="inlineStr">
        <is>
          <t>27abr–2may</t>
        </is>
      </c>
      <c r="B4" s="9" t="inlineStr">
        <is>
          <t>Jesús Valdez</t>
        </is>
      </c>
      <c r="C4" s="9" t="inlineStr">
        <is>
          <t>L34</t>
        </is>
      </c>
      <c r="D4" s="9" t="inlineStr">
        <is>
          <t>Piso P.A.: pasillo(Moret)+recám 1 y ppal(Royal)</t>
        </is>
      </c>
      <c r="E4" s="9" t="inlineStr">
        <is>
          <t>24.37 m²</t>
        </is>
      </c>
      <c r="F4" s="9" t="inlineStr">
        <is>
          <t>emboquillado</t>
        </is>
      </c>
    </row>
    <row r="5">
      <c r="A5" s="9" t="inlineStr">
        <is>
          <t>4–9may</t>
        </is>
      </c>
      <c r="B5" s="9" t="inlineStr">
        <is>
          <t>Jesús Valdez</t>
        </is>
      </c>
      <c r="C5" s="9" t="inlineStr">
        <is>
          <t>L34</t>
        </is>
      </c>
      <c r="D5" s="9" t="inlineStr">
        <is>
          <t>Piso P.A.: recám 1/2/ppal(Royal)+baño/vestidor(Moret); zoclo recám1 14.76 m</t>
        </is>
      </c>
      <c r="E5" s="9" t="inlineStr">
        <is>
          <t>33.61 m²</t>
        </is>
      </c>
      <c r="F5" s="9" t="inlineStr">
        <is>
          <t>falta boquilla</t>
        </is>
      </c>
    </row>
    <row r="6">
      <c r="A6" s="9" t="inlineStr">
        <is>
          <t>11–16may</t>
        </is>
      </c>
      <c r="B6" s="9" t="inlineStr">
        <is>
          <t>Jesús Valdez</t>
        </is>
      </c>
      <c r="C6" s="9" t="inlineStr">
        <is>
          <t>L34</t>
        </is>
      </c>
      <c r="D6" s="9" t="inlineStr">
        <is>
          <t>Baño compartido P.A.(Moret) 3.25 + muros baños(Moret) 12.42</t>
        </is>
      </c>
      <c r="E6" s="9" t="inlineStr">
        <is>
          <t>15.67 m²</t>
        </is>
      </c>
      <c r="F6" s="9" t="inlineStr"/>
    </row>
    <row r="7">
      <c r="A7" s="9" t="inlineStr">
        <is>
          <t>18–23may</t>
        </is>
      </c>
      <c r="B7" s="9" t="inlineStr">
        <is>
          <t>Jaime Galaviz</t>
        </is>
      </c>
      <c r="C7" s="9" t="inlineStr">
        <is>
          <t>L34</t>
        </is>
      </c>
      <c r="D7" s="9" t="inlineStr">
        <is>
          <t>ZOCLO P.A. completo + charola/sardineles 2 pzas + muros baños</t>
        </is>
      </c>
      <c r="E7" s="9" t="inlineStr">
        <is>
          <t>70.97 m (zoclo)</t>
        </is>
      </c>
      <c r="F7" s="9" t="inlineStr">
        <is>
          <t>P.A. revestida</t>
        </is>
      </c>
    </row>
    <row r="8">
      <c r="A8" s="9" t="inlineStr">
        <is>
          <t>25–30may</t>
        </is>
      </c>
      <c r="B8" s="9" t="inlineStr">
        <is>
          <t>Cortez (3)</t>
        </is>
      </c>
      <c r="C8" s="9" t="inlineStr">
        <is>
          <t>L9</t>
        </is>
      </c>
      <c r="D8" s="9" t="inlineStr">
        <is>
          <t>Piso P.A.: recámaras(Royal)+pasillo/baño(Moret); zoclo 15.76 m</t>
        </is>
      </c>
      <c r="E8" s="9" t="inlineStr">
        <is>
          <t>55.01 m²</t>
        </is>
      </c>
      <c r="F8" s="9" t="inlineStr">
        <is>
          <t>emboquillado</t>
        </is>
      </c>
    </row>
    <row r="9">
      <c r="A9" s="9" t="inlineStr">
        <is>
          <t>1–6jun</t>
        </is>
      </c>
      <c r="B9" s="9" t="inlineStr">
        <is>
          <t>J. Salmerón</t>
        </is>
      </c>
      <c r="C9" s="9" t="inlineStr">
        <is>
          <t>L34</t>
        </is>
      </c>
      <c r="D9" s="9" t="inlineStr">
        <is>
          <t>Piso P.B.(Moret): baño/lavado/cocina/sala + muro lavado 7.36; zoclo P.B. 43.56 m</t>
        </is>
      </c>
      <c r="E9" s="9" t="inlineStr">
        <is>
          <t>72.29 m²</t>
        </is>
      </c>
      <c r="F9" s="9" t="inlineStr">
        <is>
          <t>(falta terraza 18.61)</t>
        </is>
      </c>
    </row>
    <row r="10">
      <c r="A10" s="9" t="inlineStr">
        <is>
          <t>1–6jun</t>
        </is>
      </c>
      <c r="B10" s="9" t="inlineStr">
        <is>
          <t>J. Salmerón</t>
        </is>
      </c>
      <c r="C10" s="9" t="inlineStr">
        <is>
          <t>L10</t>
        </is>
      </c>
      <c r="D10" s="9" t="inlineStr">
        <is>
          <t>Renivelación P.A. (mortero, no tablón)</t>
        </is>
      </c>
      <c r="E10" s="9" t="inlineStr">
        <is>
          <t>58.25 m²</t>
        </is>
      </c>
      <c r="F10" s="9" t="inlineStr">
        <is>
          <t>prep</t>
        </is>
      </c>
    </row>
    <row r="11">
      <c r="A11" s="9" t="inlineStr">
        <is>
          <t>8–13jun</t>
        </is>
      </c>
      <c r="B11" s="9" t="inlineStr">
        <is>
          <t>J. Salmerón</t>
        </is>
      </c>
      <c r="C11" s="9" t="inlineStr">
        <is>
          <t>L9</t>
        </is>
      </c>
      <c r="D11" s="9" t="inlineStr">
        <is>
          <t>Piso P.B. 90%, zoclo P.B. 80%, muros baños P.A. 70%, nichos 2, escalera 1</t>
        </is>
      </c>
      <c r="E11" s="9" t="inlineStr">
        <is>
          <t>% (sin m²)</t>
        </is>
      </c>
      <c r="F11" s="12" t="inlineStr">
        <is>
          <t>HUECO m²</t>
        </is>
      </c>
    </row>
    <row r="12">
      <c r="A12" s="9" t="inlineStr">
        <is>
          <t>15–20jun</t>
        </is>
      </c>
      <c r="B12" s="9" t="inlineStr">
        <is>
          <t>J. Salmerón</t>
        </is>
      </c>
      <c r="C12" s="9" t="inlineStr">
        <is>
          <t>L9</t>
        </is>
      </c>
      <c r="D12" s="9" t="inlineStr">
        <is>
          <t>Zoclo P.A. 90%, piso muro baños P.A. 100%</t>
        </is>
      </c>
      <c r="E12" s="9" t="inlineStr">
        <is>
          <t>% (sin m²)</t>
        </is>
      </c>
      <c r="F12" s="12" t="inlineStr">
        <is>
          <t>HUECO m²</t>
        </is>
      </c>
    </row>
    <row r="13">
      <c r="A13" s="9" t="inlineStr">
        <is>
          <t>15–20jun</t>
        </is>
      </c>
      <c r="B13" s="9" t="inlineStr">
        <is>
          <t>J. Salmerón</t>
        </is>
      </c>
      <c r="C13" s="9" t="inlineStr">
        <is>
          <t>L10</t>
        </is>
      </c>
      <c r="D13" s="9" t="inlineStr">
        <is>
          <t>Piso Moret P.A. 100%, Royal cuartos 60%, zoclo P.A. 10%</t>
        </is>
      </c>
      <c r="E13" s="9" t="inlineStr">
        <is>
          <t>% (sin m²)</t>
        </is>
      </c>
      <c r="F13" s="12" t="inlineStr">
        <is>
          <t>HUECO m²</t>
        </is>
      </c>
    </row>
    <row r="14">
      <c r="A14" s="9" t="inlineStr">
        <is>
          <t>15–20jun</t>
        </is>
      </c>
      <c r="B14" s="9" t="inlineStr">
        <is>
          <t>J. Salmerón</t>
        </is>
      </c>
      <c r="C14" s="9" t="inlineStr">
        <is>
          <t>L34</t>
        </is>
      </c>
      <c r="D14" s="9" t="inlineStr">
        <is>
          <t>Vitroblock 28 pzas (100%)</t>
        </is>
      </c>
      <c r="E14" s="9" t="inlineStr">
        <is>
          <t>28 pzas</t>
        </is>
      </c>
      <c r="F14" s="9" t="inlineStr"/>
    </row>
    <row r="15">
      <c r="A15" s="9" t="inlineStr">
        <is>
          <t>22–27jun</t>
        </is>
      </c>
      <c r="B15" s="9" t="inlineStr">
        <is>
          <t>J. Salmerón</t>
        </is>
      </c>
      <c r="C15" s="9" t="inlineStr">
        <is>
          <t>L9</t>
        </is>
      </c>
      <c r="D15" s="9" t="inlineStr">
        <is>
          <t>Piso muro cuarto lavado 90%</t>
        </is>
      </c>
      <c r="E15" s="9" t="inlineStr">
        <is>
          <t>% (sin m²)</t>
        </is>
      </c>
      <c r="F15" s="12" t="inlineStr">
        <is>
          <t>HUECO m²</t>
        </is>
      </c>
    </row>
    <row r="16">
      <c r="A16" s="9" t="inlineStr">
        <is>
          <t>22–27jun</t>
        </is>
      </c>
      <c r="B16" s="9" t="inlineStr">
        <is>
          <t>J. Salmerón</t>
        </is>
      </c>
      <c r="C16" s="9" t="inlineStr">
        <is>
          <t>L10</t>
        </is>
      </c>
      <c r="D16" s="9" t="inlineStr">
        <is>
          <t>Muro baños P.A. 70%, escalera, nichos 100%, sardinel 2.9 m</t>
        </is>
      </c>
      <c r="E16" s="9" t="inlineStr">
        <is>
          <t>% (sin m²)</t>
        </is>
      </c>
      <c r="F16" s="12" t="inlineStr">
        <is>
          <t>HUECO m²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26" customWidth="1" min="4" max="4"/>
    <col width="30" customWidth="1" min="5" max="5"/>
  </cols>
  <sheetData>
    <row r="1">
      <c r="A1" s="1" t="inlineStr">
        <is>
          <t>RESUMEN POR PISERO — m² PARA DESTAJO (pago)</t>
        </is>
      </c>
    </row>
    <row r="2">
      <c r="A2" s="2" t="inlineStr">
        <is>
          <t>m² de PISO documentados. El zoclo (ml) y piezas se pagan aparte. OJO destajos en % de Salmerón.</t>
        </is>
      </c>
    </row>
    <row r="3">
      <c r="A3" s="3" t="inlineStr">
        <is>
          <t>Pisero (equipo)</t>
        </is>
      </c>
      <c r="B3" s="3" t="inlineStr">
        <is>
          <t>Lote(s)</t>
        </is>
      </c>
      <c r="C3" s="3" t="inlineStr">
        <is>
          <t>m² piso doc.</t>
        </is>
      </c>
      <c r="D3" s="3" t="inlineStr">
        <is>
          <t>Otros (zoclo/pzas)</t>
        </is>
      </c>
      <c r="E3" s="3" t="inlineStr">
        <is>
          <t>Nota</t>
        </is>
      </c>
    </row>
    <row r="4">
      <c r="A4" s="9" t="inlineStr">
        <is>
          <t>Jesús Valdez Torres (+Orduño, Gómez)</t>
        </is>
      </c>
      <c r="B4" s="9" t="inlineStr">
        <is>
          <t>L34 P.A.</t>
        </is>
      </c>
      <c r="C4" s="6" t="n">
        <v>73.65000000000001</v>
      </c>
      <c r="D4" s="6" t="inlineStr">
        <is>
          <t>zoclo recám1 14.76 m</t>
        </is>
      </c>
      <c r="E4" s="9" t="inlineStr">
        <is>
          <t>Piso P.A. recámaras/pasillo/baños/muros</t>
        </is>
      </c>
    </row>
    <row r="5">
      <c r="A5" s="9" t="inlineStr">
        <is>
          <t>Jaime Galaviz</t>
        </is>
      </c>
      <c r="B5" s="9" t="inlineStr">
        <is>
          <t>L34</t>
        </is>
      </c>
      <c r="C5" s="6" t="inlineStr">
        <is>
          <t>—</t>
        </is>
      </c>
      <c r="D5" s="6" t="inlineStr">
        <is>
          <t>zoclo 70.97 m + charola/sardinel 2 pzas</t>
        </is>
      </c>
      <c r="E5" s="9" t="inlineStr">
        <is>
          <t>Pago por zoclo lineal + piezas</t>
        </is>
      </c>
    </row>
    <row r="6">
      <c r="A6" s="9" t="inlineStr">
        <is>
          <t>Cortez: Miguel/Manuel/José Alberto</t>
        </is>
      </c>
      <c r="B6" s="9" t="inlineStr">
        <is>
          <t>L9 P.A.</t>
        </is>
      </c>
      <c r="C6" s="6" t="n">
        <v>55.01</v>
      </c>
      <c r="D6" s="6" t="inlineStr">
        <is>
          <t>zoclo 15.76 m</t>
        </is>
      </c>
      <c r="E6" s="9" t="inlineStr">
        <is>
          <t>Piso P.A. recámaras/pasillo/baños</t>
        </is>
      </c>
    </row>
    <row r="7">
      <c r="A7" s="9" t="inlineStr">
        <is>
          <t>Jesús Salmerón (+Kevin, +Amaral)</t>
        </is>
      </c>
      <c r="B7" s="9" t="inlineStr">
        <is>
          <t>L34 PB / L9 / L10</t>
        </is>
      </c>
      <c r="C7" s="6" t="n">
        <v>137.9</v>
      </c>
      <c r="D7" s="6" t="inlineStr">
        <is>
          <t>zoclo P.B. 43.56 m + % varios</t>
        </is>
      </c>
      <c r="E7" s="12" t="inlineStr">
        <is>
          <t>Incl. 58.25 m² renivelación (mortero). FALTA convertir % de jun a m²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26" customWidth="1" min="4" max="4"/>
  </cols>
  <sheetData>
    <row r="1">
      <c r="A1" s="1" t="inlineStr">
        <is>
          <t>ASISTENCIA DE PISEROS — DÍAS POR LOTE (Viñas Norte)</t>
        </is>
      </c>
    </row>
    <row r="3">
      <c r="A3" s="3" t="inlineStr">
        <is>
          <t>Semana</t>
        </is>
      </c>
      <c r="B3" s="3" t="inlineStr">
        <is>
          <t>Lote</t>
        </is>
      </c>
      <c r="C3" s="3" t="inlineStr">
        <is>
          <t>Pisero-días</t>
        </is>
      </c>
      <c r="D3" s="3" t="inlineStr">
        <is>
          <t>Equipo</t>
        </is>
      </c>
    </row>
    <row r="4">
      <c r="A4" s="9" t="inlineStr">
        <is>
          <t>27abr-2may</t>
        </is>
      </c>
      <c r="B4" s="6" t="inlineStr">
        <is>
          <t>L34</t>
        </is>
      </c>
      <c r="C4" s="6" t="n">
        <v>7.5</v>
      </c>
      <c r="D4" s="9" t="inlineStr">
        <is>
          <t>Valdez+Orduño+Gómez</t>
        </is>
      </c>
    </row>
    <row r="5">
      <c r="A5" s="9" t="inlineStr">
        <is>
          <t>4-9may</t>
        </is>
      </c>
      <c r="B5" s="6" t="inlineStr">
        <is>
          <t>L34</t>
        </is>
      </c>
      <c r="C5" s="6" t="n">
        <v>7.5</v>
      </c>
      <c r="D5" s="9" t="inlineStr">
        <is>
          <t>Valdez+ay</t>
        </is>
      </c>
    </row>
    <row r="6">
      <c r="A6" s="9" t="inlineStr">
        <is>
          <t>11-16may</t>
        </is>
      </c>
      <c r="B6" s="6" t="inlineStr">
        <is>
          <t>L34</t>
        </is>
      </c>
      <c r="C6" s="6" t="n">
        <v>5</v>
      </c>
      <c r="D6" s="9" t="inlineStr">
        <is>
          <t>Valdez+ay</t>
        </is>
      </c>
    </row>
    <row r="7">
      <c r="A7" s="9" t="inlineStr">
        <is>
          <t>18-23may</t>
        </is>
      </c>
      <c r="B7" s="6" t="inlineStr">
        <is>
          <t>L34</t>
        </is>
      </c>
      <c r="C7" s="6" t="n">
        <v>5</v>
      </c>
      <c r="D7" s="9" t="inlineStr">
        <is>
          <t>Jaime</t>
        </is>
      </c>
    </row>
    <row r="8">
      <c r="A8" s="9" t="inlineStr">
        <is>
          <t>18-23may</t>
        </is>
      </c>
      <c r="B8" s="6" t="inlineStr">
        <is>
          <t>L9</t>
        </is>
      </c>
      <c r="C8" s="6" t="n">
        <v>15</v>
      </c>
      <c r="D8" s="9" t="inlineStr">
        <is>
          <t>3 Cortez</t>
        </is>
      </c>
    </row>
    <row r="9">
      <c r="A9" s="9" t="inlineStr">
        <is>
          <t>25-30may</t>
        </is>
      </c>
      <c r="B9" s="6" t="inlineStr">
        <is>
          <t>L34</t>
        </is>
      </c>
      <c r="C9" s="6" t="n">
        <v>4</v>
      </c>
      <c r="D9" s="9" t="inlineStr">
        <is>
          <t>Jaime</t>
        </is>
      </c>
    </row>
    <row r="10">
      <c r="A10" s="9" t="inlineStr">
        <is>
          <t>25-30may</t>
        </is>
      </c>
      <c r="B10" s="6" t="inlineStr">
        <is>
          <t>L9</t>
        </is>
      </c>
      <c r="C10" s="6" t="n">
        <v>6</v>
      </c>
      <c r="D10" s="9" t="inlineStr">
        <is>
          <t>3 Cortez</t>
        </is>
      </c>
    </row>
    <row r="11">
      <c r="A11" s="9" t="inlineStr">
        <is>
          <t>1-6jun</t>
        </is>
      </c>
      <c r="B11" s="6" t="inlineStr">
        <is>
          <t>L9</t>
        </is>
      </c>
      <c r="C11" s="6" t="n">
        <v>18</v>
      </c>
      <c r="D11" s="9" t="inlineStr">
        <is>
          <t>Salmerón+Kevin+Amaral</t>
        </is>
      </c>
    </row>
    <row r="12">
      <c r="A12" s="9" t="inlineStr">
        <is>
          <t>8-13jun</t>
        </is>
      </c>
      <c r="B12" s="6" t="inlineStr">
        <is>
          <t>L9</t>
        </is>
      </c>
      <c r="C12" s="6" t="n">
        <v>13</v>
      </c>
      <c r="D12" s="9" t="inlineStr">
        <is>
          <t>Salmerón+Kevin</t>
        </is>
      </c>
    </row>
    <row r="13">
      <c r="A13" s="9" t="inlineStr">
        <is>
          <t>8-13jun</t>
        </is>
      </c>
      <c r="B13" s="6" t="inlineStr">
        <is>
          <t>L34</t>
        </is>
      </c>
      <c r="C13" s="6" t="n">
        <v>2</v>
      </c>
      <c r="D13" s="9" t="inlineStr">
        <is>
          <t>carryover</t>
        </is>
      </c>
    </row>
    <row r="14">
      <c r="A14" s="9" t="inlineStr">
        <is>
          <t>15-20jun</t>
        </is>
      </c>
      <c r="B14" s="6" t="inlineStr">
        <is>
          <t>L9</t>
        </is>
      </c>
      <c r="C14" s="6" t="n">
        <v>3</v>
      </c>
      <c r="D14" s="9" t="inlineStr">
        <is>
          <t>Salmerón</t>
        </is>
      </c>
    </row>
    <row r="15">
      <c r="A15" s="9" t="inlineStr">
        <is>
          <t>15-20jun</t>
        </is>
      </c>
      <c r="B15" s="6" t="inlineStr">
        <is>
          <t>L10</t>
        </is>
      </c>
      <c r="C15" s="6" t="n">
        <v>7</v>
      </c>
      <c r="D15" s="9" t="inlineStr">
        <is>
          <t>Salmerón+Amaral</t>
        </is>
      </c>
    </row>
    <row r="16">
      <c r="A16" s="9" t="inlineStr">
        <is>
          <t>22-27jun</t>
        </is>
      </c>
      <c r="B16" s="6" t="inlineStr">
        <is>
          <t>L9</t>
        </is>
      </c>
      <c r="C16" s="6" t="n">
        <v>3</v>
      </c>
      <c r="D16" s="9" t="inlineStr">
        <is>
          <t>Salmerón</t>
        </is>
      </c>
    </row>
    <row r="17">
      <c r="A17" s="9" t="inlineStr">
        <is>
          <t>22-27jun</t>
        </is>
      </c>
      <c r="B17" s="6" t="inlineStr">
        <is>
          <t>L10</t>
        </is>
      </c>
      <c r="C17" s="6" t="n">
        <v>2</v>
      </c>
      <c r="D17" s="9" t="inlineStr">
        <is>
          <t>Kevin</t>
        </is>
      </c>
    </row>
    <row r="19">
      <c r="A19" s="13" t="inlineStr">
        <is>
          <t>TOTAL pisero-días:  L34 = 31.0   |   L9 = 58.0   |   L10 = 9.0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 DE CIERRE Y HUECOS (verificado por council)</t>
        </is>
      </c>
    </row>
    <row r="3">
      <c r="A3" s="14" t="inlineStr">
        <is>
          <t>VEREDICTO: CIERRA_CON_HUECOS. El inventario está cerrado y es consistente: Consumido = Inicial − Actual en los 3 lotes.</t>
        </is>
      </c>
    </row>
    <row r="4">
      <c r="A4" s="15" t="inlineStr"/>
    </row>
    <row r="5">
      <c r="A5" s="15" t="inlineStr">
        <is>
          <t>✓ L34 (Cabernet): CUADRA completo. Moret 117 cajas ≈ 130.6 m² instalados, merma 21.6%. Royal 41 cajas ≈ 39.6 m², merma 19.5%. Ambas plausibles (12–25%).</t>
        </is>
      </c>
    </row>
    <row r="6">
      <c r="A6" s="15" t="inlineStr">
        <is>
          <t>✓ L9 (Merlot) Royal: CUADRA. 39.85 m² recámaras → 33.2 cajas vs 37, merma 10.2%.</t>
        </is>
      </c>
    </row>
    <row r="7">
      <c r="A7" s="15" t="inlineStr"/>
    </row>
    <row r="8">
      <c r="A8" s="14" t="inlineStr">
        <is>
          <t>⚠ HUECO DE DOCUMENTACIÓN (no de inventario):</t>
        </is>
      </c>
    </row>
    <row r="9">
      <c r="A9" s="15" t="inlineStr">
        <is>
          <t>• L9 Moret: se consumieron 98 cajas (inventario en 0), pero los destajos de junio (Salmerón: piso P.B., zoclos, muros baños) se reportaron en PORCENTAJES sin m². Solo 17.5 m² documentados. Faltan ~86 cajas de metraje por levantar.</t>
        </is>
      </c>
    </row>
    <row r="10">
      <c r="A10" s="15" t="inlineStr">
        <is>
          <t>• L10 (ACTIVO): 50 Moret y 37 Royal consumidas, pero todo el destajo en %. El Royal al 60% colocado sugiere material en sitio sin instalar (WIP), no consumo total de piso.</t>
        </is>
      </c>
    </row>
    <row r="11">
      <c r="A11" s="15" t="inlineStr"/>
    </row>
    <row r="12">
      <c r="A12" s="14" t="inlineStr">
        <is>
          <t>ACCIÓN PARA CERRAR FINO (antes de irte):</t>
        </is>
      </c>
    </row>
    <row r="13">
      <c r="A13" s="15" t="inlineStr">
        <is>
          <t>1. Pedir a Salmerón el levantamiento en m² de los destajos de junio (L9 P.B. y L10) para convertir los % a metros y cruzar las ~86 cajas de L9 y las de L10.</t>
        </is>
      </c>
    </row>
    <row r="14">
      <c r="A14" s="15" t="inlineStr">
        <is>
          <t>2. Contar físicamente el Royal Walnut de L10 en sitio (lo instalado vs lo que queda en cajas) — el inventario dice 0 pero los cuartos están al 60%.</t>
        </is>
      </c>
    </row>
    <row r="15">
      <c r="A15" s="15" t="inlineStr">
        <is>
          <t>3. Posible doble conteo resuelto: el zoclo de recámara 1 de L34 (14.76 m) ya está dentro del zoclo total de Jaime (70.97 m); no se pagó doble.</t>
        </is>
      </c>
    </row>
    <row r="16">
      <c r="A16" s="15" t="inlineStr"/>
    </row>
    <row r="17">
      <c r="A17" s="15" t="inlineStr">
        <is>
          <t>MERMA: la del material medido y cerrado (L34 + L9 Royal) es ~19–21%, normal para piso tablón cortado (incluye zoclo del mismo Moret). La 'merma' alta de L9 Moret/L10 es artefacto de falta de m², NO desperdicio real.</t>
        </is>
      </c>
    </row>
    <row r="18">
      <c r="A18" s="15" t="inlineStr"/>
    </row>
    <row r="19">
      <c r="A19" s="15" t="inlineStr">
        <is>
          <t>Materiales no-piso consumidos (fuera del cuadre Moret/Royal): Pegavitro, Fija Porcelánico, Unicrest, Urbania, Malla, vitroblock, boquillas, Kretbond — ver hoja 1.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2026-06-28T06:38:16Z</dcterms:created>
  <dcterms:modified xsi:type="dcterms:W3CDTF">2026-06-28T06:38:16Z</dcterms:modified>
</cp:coreProperties>
</file>